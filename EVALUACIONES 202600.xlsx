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depoffice365ms-my.sharepoint.com/personal/diana_trelles_udep_edu_pe/Documents/diana.trelles/2024 nivelación/"/>
    </mc:Choice>
  </mc:AlternateContent>
  <xr:revisionPtr revIDLastSave="0" documentId="8_{766E4FF2-3BA3-441F-9AE3-F3E4B5A7C67D}" xr6:coauthVersionLast="47" xr6:coauthVersionMax="47" xr10:uidLastSave="{00000000-0000-0000-0000-000000000000}"/>
  <bookViews>
    <workbookView xWindow="390" yWindow="390" windowWidth="13020" windowHeight="14550" firstSheet="1" activeTab="1" xr2:uid="{F8CECDB2-1AB9-4DFE-B42C-1CDF76295B1B}"/>
  </bookViews>
  <sheets>
    <sheet name="Asignaturas" sheetId="1" r:id="rId1"/>
    <sheet name="ENTREGAS" sheetId="5" r:id="rId2"/>
    <sheet name="RECLAMOS" sheetId="6" r:id="rId3"/>
    <sheet name="CONTRAreclamos" sheetId="7" r:id="rId4"/>
  </sheets>
  <definedNames>
    <definedName name="_xlnm._FilterDatabase" localSheetId="2" hidden="1">RECLAMOS!$F$471:$F$471</definedName>
    <definedName name="_xlnm._FilterDatabase" localSheetId="0" hidden="1">Asignaturas!$A$4:$E$261</definedName>
    <definedName name="IA">ENTREGAS!$A$4:$K$4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2" i="5" l="1"/>
  <c r="J231" i="5"/>
  <c r="J230" i="5"/>
  <c r="J229" i="5"/>
  <c r="C116" i="1"/>
  <c r="C115" i="1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4" i="5"/>
  <c r="J213" i="5"/>
  <c r="J202" i="5"/>
  <c r="J201" i="5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41" i="6"/>
  <c r="J189" i="5"/>
  <c r="J188" i="5"/>
  <c r="J187" i="5"/>
  <c r="J186" i="5"/>
  <c r="J185" i="5"/>
  <c r="J184" i="5"/>
  <c r="J183" i="5"/>
  <c r="J181" i="5"/>
  <c r="J180" i="5"/>
  <c r="J179" i="5"/>
  <c r="J178" i="5"/>
  <c r="J177" i="5"/>
  <c r="J176" i="5"/>
  <c r="J175" i="5"/>
  <c r="J174" i="5"/>
  <c r="J173" i="5"/>
  <c r="J171" i="5"/>
  <c r="J169" i="5"/>
  <c r="J168" i="5"/>
  <c r="C15" i="1"/>
  <c r="J165" i="5"/>
  <c r="J161" i="5"/>
  <c r="J160" i="5"/>
  <c r="J159" i="5"/>
  <c r="J158" i="5"/>
  <c r="J157" i="5"/>
  <c r="J155" i="5"/>
  <c r="C155" i="5"/>
  <c r="J156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39" i="5"/>
  <c r="J138" i="5"/>
  <c r="J137" i="5"/>
  <c r="J136" i="5"/>
  <c r="J135" i="5"/>
  <c r="J134" i="5"/>
  <c r="J133" i="5"/>
  <c r="J132" i="5"/>
  <c r="J131" i="5"/>
  <c r="L81" i="5"/>
  <c r="L95" i="5"/>
  <c r="J124" i="5"/>
  <c r="J123" i="5"/>
  <c r="J122" i="5"/>
  <c r="J121" i="5"/>
  <c r="J120" i="5"/>
  <c r="J119" i="5"/>
  <c r="J118" i="5"/>
  <c r="J117" i="5"/>
  <c r="J116" i="5"/>
  <c r="J110" i="5"/>
  <c r="C110" i="5"/>
  <c r="J109" i="5"/>
  <c r="C102" i="5"/>
  <c r="J102" i="5"/>
  <c r="J107" i="5"/>
  <c r="J106" i="5"/>
  <c r="J105" i="5"/>
  <c r="C105" i="5"/>
  <c r="J104" i="5"/>
  <c r="J103" i="5"/>
  <c r="J101" i="5"/>
  <c r="J100" i="5"/>
  <c r="J96" i="5"/>
  <c r="J95" i="5"/>
  <c r="J94" i="5"/>
  <c r="J93" i="5"/>
  <c r="J92" i="5"/>
  <c r="J90" i="5"/>
  <c r="J89" i="5"/>
  <c r="J88" i="5"/>
  <c r="J87" i="5"/>
  <c r="C87" i="5"/>
  <c r="J86" i="5"/>
  <c r="J85" i="5"/>
  <c r="J84" i="5"/>
  <c r="C84" i="5"/>
  <c r="J83" i="5"/>
  <c r="J81" i="5"/>
  <c r="L69" i="5"/>
  <c r="J76" i="5"/>
  <c r="C76" i="5"/>
  <c r="C77" i="5"/>
  <c r="J77" i="5"/>
  <c r="J75" i="5"/>
  <c r="J67" i="5"/>
  <c r="C67" i="5"/>
  <c r="J65" i="5"/>
  <c r="J64" i="5"/>
  <c r="J62" i="5"/>
  <c r="J61" i="5"/>
  <c r="J60" i="5"/>
  <c r="J58" i="5"/>
  <c r="J57" i="5"/>
  <c r="J56" i="5"/>
  <c r="C55" i="5"/>
  <c r="J53" i="5"/>
  <c r="J52" i="5"/>
  <c r="J51" i="5"/>
  <c r="J48" i="5"/>
  <c r="C48" i="5"/>
  <c r="J50" i="5"/>
  <c r="C26" i="5"/>
  <c r="J26" i="5"/>
  <c r="J47" i="5"/>
  <c r="J49" i="5"/>
  <c r="J46" i="5"/>
  <c r="J45" i="5"/>
  <c r="J44" i="5"/>
  <c r="J42" i="5"/>
  <c r="C42" i="5"/>
  <c r="J36" i="5"/>
  <c r="J37" i="5"/>
  <c r="J38" i="5"/>
  <c r="J39" i="5"/>
  <c r="J40" i="5"/>
  <c r="J35" i="5"/>
  <c r="J33" i="5"/>
  <c r="J32" i="5"/>
  <c r="J31" i="5"/>
  <c r="J25" i="5"/>
  <c r="C25" i="5"/>
  <c r="J30" i="5"/>
  <c r="J29" i="5"/>
  <c r="J28" i="5"/>
  <c r="J27" i="5"/>
  <c r="J14" i="5"/>
  <c r="J9" i="5"/>
  <c r="C9" i="5"/>
  <c r="C232" i="1"/>
  <c r="C230" i="1"/>
  <c r="C229" i="1"/>
  <c r="C9" i="1"/>
  <c r="C171" i="1"/>
  <c r="C38" i="1"/>
  <c r="C53" i="1"/>
  <c r="C52" i="1"/>
  <c r="C204" i="1"/>
  <c r="C205" i="1"/>
  <c r="C112" i="1"/>
  <c r="C137" i="1"/>
  <c r="C186" i="1"/>
  <c r="C185" i="1"/>
  <c r="C184" i="1"/>
  <c r="C36" i="1"/>
  <c r="C110" i="1"/>
  <c r="C127" i="1"/>
  <c r="C108" i="1"/>
  <c r="C190" i="1"/>
  <c r="C82" i="1"/>
  <c r="C22" i="1"/>
  <c r="C117" i="1"/>
  <c r="C75" i="1"/>
  <c r="C74" i="1"/>
  <c r="C179" i="1"/>
  <c r="C155" i="1"/>
  <c r="C113" i="1"/>
  <c r="C156" i="1"/>
  <c r="C89" i="1"/>
  <c r="C202" i="1"/>
  <c r="C201" i="1"/>
  <c r="C7" i="1"/>
  <c r="C170" i="1"/>
  <c r="C169" i="1"/>
  <c r="C19" i="1"/>
  <c r="C80" i="1"/>
  <c r="C79" i="1"/>
  <c r="C78" i="1"/>
  <c r="C164" i="1"/>
  <c r="C124" i="1"/>
  <c r="C85" i="1"/>
  <c r="C114" i="1"/>
  <c r="C163" i="1"/>
  <c r="C92" i="1"/>
  <c r="C180" i="1"/>
  <c r="C90" i="1"/>
  <c r="C68" i="1"/>
  <c r="C133" i="1"/>
  <c r="C132" i="1"/>
  <c r="C96" i="1"/>
  <c r="C95" i="1"/>
  <c r="C102" i="1"/>
  <c r="J5" i="5"/>
  <c r="C5" i="5"/>
  <c r="J6" i="5"/>
  <c r="C6" i="5"/>
  <c r="J7" i="5"/>
  <c r="C7" i="5"/>
  <c r="C8" i="5"/>
  <c r="J8" i="5"/>
  <c r="J11" i="5"/>
  <c r="C11" i="5"/>
  <c r="J10" i="5"/>
  <c r="C10" i="5"/>
  <c r="J12" i="5"/>
  <c r="C12" i="5"/>
  <c r="J13" i="5"/>
  <c r="C13" i="5"/>
  <c r="C14" i="5"/>
  <c r="C15" i="5"/>
  <c r="J15" i="5"/>
  <c r="J20" i="5"/>
  <c r="J18" i="5"/>
  <c r="J17" i="5"/>
  <c r="J16" i="5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5" i="7"/>
  <c r="C5" i="6"/>
  <c r="C273" i="6"/>
  <c r="J693" i="5"/>
  <c r="J688" i="5"/>
  <c r="C688" i="5"/>
  <c r="J687" i="5"/>
  <c r="J686" i="5"/>
  <c r="J684" i="5"/>
  <c r="J685" i="5"/>
  <c r="J683" i="5"/>
  <c r="J682" i="5"/>
  <c r="J681" i="5"/>
  <c r="C681" i="5"/>
  <c r="J680" i="5"/>
  <c r="C680" i="5"/>
  <c r="J679" i="5"/>
  <c r="J678" i="5"/>
  <c r="C678" i="5"/>
  <c r="J676" i="5"/>
  <c r="C672" i="5"/>
  <c r="J672" i="5"/>
  <c r="J671" i="5"/>
  <c r="J670" i="5"/>
  <c r="J669" i="5"/>
  <c r="C669" i="5"/>
  <c r="J668" i="5"/>
  <c r="J667" i="5"/>
  <c r="C667" i="5"/>
  <c r="J666" i="5"/>
  <c r="J665" i="5"/>
  <c r="J664" i="5"/>
  <c r="J663" i="5"/>
  <c r="C662" i="5"/>
  <c r="J662" i="5"/>
  <c r="J661" i="5"/>
  <c r="J660" i="5"/>
  <c r="J659" i="5"/>
  <c r="J658" i="5"/>
  <c r="J656" i="5"/>
  <c r="J655" i="5"/>
  <c r="J654" i="5"/>
  <c r="J653" i="5"/>
  <c r="J652" i="5"/>
  <c r="J651" i="5"/>
  <c r="J650" i="5"/>
  <c r="J649" i="5"/>
  <c r="J648" i="5"/>
  <c r="J647" i="5"/>
  <c r="J645" i="5"/>
  <c r="J644" i="5"/>
  <c r="J643" i="5"/>
  <c r="J642" i="5"/>
  <c r="J641" i="5"/>
  <c r="J639" i="5"/>
  <c r="J636" i="5"/>
  <c r="J635" i="5"/>
  <c r="J634" i="5"/>
  <c r="C634" i="5"/>
  <c r="J633" i="5"/>
  <c r="J632" i="5"/>
  <c r="J629" i="5"/>
  <c r="J628" i="5"/>
  <c r="J627" i="5"/>
  <c r="J625" i="5"/>
  <c r="C624" i="5"/>
  <c r="J624" i="5"/>
  <c r="J623" i="5"/>
  <c r="J622" i="5"/>
  <c r="J620" i="5"/>
  <c r="C620" i="5"/>
  <c r="J619" i="5"/>
  <c r="J618" i="5"/>
  <c r="J617" i="5"/>
  <c r="C617" i="5"/>
  <c r="J614" i="5"/>
  <c r="J613" i="5"/>
  <c r="C201" i="6"/>
  <c r="J611" i="5"/>
  <c r="C610" i="5"/>
  <c r="J609" i="5"/>
  <c r="J608" i="5"/>
  <c r="J607" i="5"/>
  <c r="J606" i="5"/>
  <c r="J605" i="5"/>
  <c r="J604" i="5"/>
  <c r="J590" i="5"/>
  <c r="C590" i="5"/>
  <c r="J603" i="5"/>
  <c r="J602" i="5"/>
  <c r="J601" i="5"/>
  <c r="J600" i="5"/>
  <c r="J599" i="5"/>
  <c r="J598" i="5"/>
  <c r="J597" i="5"/>
  <c r="J594" i="5"/>
  <c r="J593" i="5"/>
  <c r="J592" i="5"/>
  <c r="J588" i="5"/>
  <c r="J587" i="5"/>
  <c r="J586" i="5"/>
  <c r="J584" i="5"/>
  <c r="C581" i="5"/>
  <c r="J580" i="5"/>
  <c r="C580" i="5"/>
  <c r="J578" i="5"/>
  <c r="J577" i="5"/>
  <c r="J576" i="5"/>
  <c r="J575" i="5"/>
  <c r="J574" i="5"/>
  <c r="J573" i="5"/>
  <c r="J572" i="5"/>
  <c r="J571" i="5"/>
  <c r="J570" i="5"/>
  <c r="J569" i="5"/>
  <c r="J568" i="5"/>
  <c r="J579" i="5"/>
  <c r="C579" i="5"/>
  <c r="C578" i="5"/>
  <c r="J567" i="5"/>
  <c r="C567" i="5"/>
  <c r="J566" i="5"/>
  <c r="J565" i="5"/>
  <c r="C565" i="5"/>
  <c r="C566" i="5"/>
  <c r="J564" i="5"/>
  <c r="C564" i="5"/>
  <c r="J561" i="5"/>
  <c r="J560" i="5"/>
  <c r="J559" i="5"/>
  <c r="C559" i="5"/>
  <c r="J558" i="5"/>
  <c r="J555" i="5"/>
  <c r="J554" i="5"/>
  <c r="J553" i="5"/>
  <c r="J552" i="5"/>
  <c r="J549" i="5"/>
  <c r="C549" i="5"/>
  <c r="J543" i="5"/>
  <c r="J542" i="5"/>
  <c r="J541" i="5"/>
  <c r="J540" i="5"/>
  <c r="C537" i="5"/>
  <c r="J537" i="5"/>
  <c r="C536" i="5"/>
  <c r="J536" i="5"/>
  <c r="J534" i="5"/>
  <c r="J533" i="5"/>
  <c r="J532" i="5"/>
  <c r="J530" i="5"/>
  <c r="J529" i="5"/>
  <c r="C172" i="6"/>
  <c r="J521" i="5"/>
  <c r="J520" i="5"/>
  <c r="J519" i="5"/>
  <c r="J516" i="5"/>
  <c r="J515" i="5"/>
  <c r="J514" i="5"/>
  <c r="J513" i="5"/>
  <c r="J512" i="5"/>
  <c r="C511" i="5"/>
  <c r="J511" i="5"/>
  <c r="J510" i="5"/>
  <c r="C509" i="5"/>
  <c r="J509" i="5"/>
  <c r="J508" i="5"/>
  <c r="J507" i="5"/>
  <c r="J505" i="5"/>
  <c r="J501" i="5"/>
  <c r="J500" i="5"/>
  <c r="J499" i="5"/>
  <c r="J498" i="5"/>
  <c r="J497" i="5"/>
  <c r="C497" i="5"/>
  <c r="J496" i="5"/>
  <c r="J495" i="5"/>
  <c r="J494" i="5"/>
  <c r="C494" i="5"/>
  <c r="J493" i="5"/>
  <c r="C493" i="5"/>
  <c r="J492" i="5"/>
  <c r="J491" i="5"/>
  <c r="J490" i="5"/>
  <c r="J488" i="5"/>
  <c r="J484" i="5"/>
  <c r="J483" i="5"/>
  <c r="J481" i="5"/>
  <c r="J480" i="5"/>
  <c r="J479" i="5"/>
  <c r="J476" i="5"/>
  <c r="J475" i="5"/>
  <c r="J474" i="5"/>
  <c r="J472" i="5"/>
  <c r="J470" i="5"/>
  <c r="J468" i="5"/>
  <c r="J466" i="5"/>
  <c r="J461" i="5"/>
  <c r="J458" i="5"/>
  <c r="J457" i="5"/>
  <c r="J453" i="5"/>
  <c r="J452" i="5"/>
  <c r="J451" i="5"/>
  <c r="J449" i="5"/>
  <c r="J446" i="5"/>
  <c r="C441" i="5"/>
  <c r="J440" i="5"/>
  <c r="J439" i="5"/>
  <c r="J438" i="5"/>
  <c r="J437" i="5"/>
  <c r="J436" i="5"/>
  <c r="J435" i="5"/>
  <c r="J432" i="5"/>
  <c r="J431" i="5"/>
  <c r="J430" i="5"/>
  <c r="J428" i="5"/>
  <c r="J425" i="5"/>
  <c r="J424" i="5"/>
  <c r="J423" i="5"/>
  <c r="J418" i="5"/>
  <c r="J417" i="5"/>
  <c r="J416" i="5"/>
  <c r="J415" i="5"/>
  <c r="J414" i="5"/>
  <c r="J413" i="5"/>
  <c r="J412" i="5"/>
  <c r="J411" i="5"/>
  <c r="J410" i="5"/>
  <c r="C412" i="5"/>
  <c r="J409" i="5"/>
  <c r="J408" i="5"/>
  <c r="C147" i="6"/>
  <c r="J403" i="5"/>
  <c r="C403" i="5"/>
  <c r="J401" i="5"/>
  <c r="J400" i="5"/>
  <c r="J399" i="5"/>
  <c r="C399" i="5"/>
  <c r="J392" i="5"/>
  <c r="J391" i="5"/>
  <c r="J389" i="5"/>
  <c r="C389" i="5"/>
  <c r="J386" i="5"/>
  <c r="J385" i="5"/>
  <c r="J384" i="5"/>
  <c r="J383" i="5"/>
  <c r="J382" i="5"/>
  <c r="J381" i="5"/>
  <c r="J379" i="5"/>
  <c r="J378" i="5"/>
  <c r="C378" i="5"/>
  <c r="J377" i="5"/>
  <c r="J375" i="5"/>
  <c r="J374" i="5"/>
  <c r="J373" i="5"/>
  <c r="J372" i="5"/>
  <c r="J371" i="5"/>
  <c r="J370" i="5"/>
  <c r="J369" i="5"/>
  <c r="J368" i="5"/>
  <c r="J367" i="5"/>
  <c r="J366" i="5"/>
  <c r="J365" i="5"/>
  <c r="J364" i="5"/>
  <c r="J362" i="5"/>
  <c r="J361" i="5"/>
  <c r="J360" i="5"/>
  <c r="J295" i="5"/>
  <c r="C295" i="5"/>
  <c r="J359" i="5"/>
  <c r="J358" i="5"/>
  <c r="J357" i="5"/>
  <c r="J355" i="5"/>
  <c r="J354" i="5"/>
  <c r="J353" i="5"/>
  <c r="J352" i="5"/>
  <c r="C119" i="6"/>
  <c r="J350" i="5"/>
  <c r="J348" i="5"/>
  <c r="J347" i="5"/>
  <c r="J345" i="5"/>
  <c r="J343" i="5"/>
  <c r="J342" i="5"/>
  <c r="J341" i="5"/>
  <c r="J340" i="5"/>
  <c r="J338" i="5"/>
  <c r="J337" i="5"/>
  <c r="J335" i="5"/>
  <c r="C335" i="5"/>
  <c r="J334" i="5"/>
  <c r="J332" i="5"/>
  <c r="J330" i="5"/>
  <c r="J327" i="5"/>
  <c r="J326" i="5"/>
  <c r="J325" i="5"/>
  <c r="J296" i="5"/>
  <c r="C296" i="5"/>
  <c r="J322" i="5"/>
  <c r="J321" i="5"/>
  <c r="C321" i="5"/>
  <c r="J320" i="5"/>
  <c r="J319" i="5"/>
  <c r="J317" i="5"/>
  <c r="J315" i="5"/>
  <c r="J314" i="5"/>
  <c r="J313" i="5"/>
  <c r="J311" i="5"/>
  <c r="J310" i="5"/>
  <c r="J309" i="5"/>
  <c r="J308" i="5"/>
  <c r="C309" i="5"/>
  <c r="J307" i="5"/>
  <c r="J306" i="5"/>
  <c r="J305" i="5"/>
  <c r="J304" i="5"/>
  <c r="J303" i="5"/>
  <c r="J302" i="5"/>
  <c r="J301" i="5"/>
  <c r="J300" i="5"/>
  <c r="J299" i="5"/>
  <c r="J298" i="5"/>
  <c r="J294" i="5"/>
  <c r="C76" i="6"/>
  <c r="J293" i="5"/>
  <c r="J292" i="5"/>
  <c r="J291" i="5"/>
  <c r="J290" i="5"/>
  <c r="J289" i="5"/>
  <c r="J288" i="5"/>
  <c r="J287" i="5"/>
  <c r="J285" i="5"/>
  <c r="J284" i="5"/>
  <c r="J283" i="5"/>
  <c r="J282" i="5"/>
  <c r="J281" i="5"/>
  <c r="J279" i="5"/>
  <c r="J278" i="5"/>
  <c r="J277" i="5"/>
  <c r="J274" i="5"/>
  <c r="J273" i="5"/>
  <c r="J272" i="5"/>
  <c r="J271" i="5"/>
  <c r="J270" i="5"/>
  <c r="J269" i="5"/>
  <c r="J268" i="5"/>
  <c r="J267" i="5"/>
  <c r="J266" i="5"/>
  <c r="J263" i="5"/>
  <c r="J264" i="5"/>
  <c r="J265" i="5"/>
  <c r="J261" i="5"/>
  <c r="J262" i="5"/>
  <c r="J260" i="5"/>
  <c r="J259" i="5"/>
  <c r="J258" i="5"/>
  <c r="J257" i="5"/>
  <c r="J256" i="5"/>
  <c r="J255" i="5"/>
  <c r="J254" i="5"/>
  <c r="J253" i="5"/>
  <c r="J251" i="5"/>
  <c r="J250" i="5"/>
  <c r="J249" i="5"/>
  <c r="J248" i="5"/>
  <c r="C248" i="5"/>
  <c r="J247" i="5"/>
  <c r="C247" i="5"/>
  <c r="J246" i="5"/>
  <c r="J245" i="5"/>
  <c r="J244" i="5"/>
  <c r="J243" i="5"/>
  <c r="J242" i="5"/>
  <c r="J240" i="5"/>
  <c r="J239" i="5"/>
  <c r="J237" i="5"/>
  <c r="J236" i="5"/>
  <c r="J235" i="5"/>
  <c r="J234" i="5"/>
  <c r="J233" i="5"/>
  <c r="C233" i="5"/>
  <c r="J215" i="5"/>
  <c r="J212" i="5"/>
  <c r="J200" i="5"/>
  <c r="J199" i="5"/>
  <c r="J198" i="5"/>
  <c r="J197" i="5"/>
  <c r="J196" i="5"/>
  <c r="J195" i="5"/>
  <c r="J194" i="5"/>
  <c r="J193" i="5"/>
  <c r="J192" i="5"/>
  <c r="J191" i="5"/>
  <c r="J190" i="5"/>
  <c r="J182" i="5"/>
  <c r="C182" i="5"/>
  <c r="C36" i="6"/>
  <c r="C185" i="5"/>
  <c r="J170" i="5"/>
  <c r="J167" i="5"/>
  <c r="C33" i="6"/>
  <c r="J164" i="5"/>
  <c r="J163" i="5"/>
  <c r="C154" i="5"/>
  <c r="C148" i="5"/>
  <c r="J140" i="5"/>
  <c r="C26" i="6"/>
  <c r="C25" i="6"/>
  <c r="J129" i="5"/>
  <c r="C129" i="5"/>
  <c r="J128" i="5"/>
  <c r="C128" i="5"/>
  <c r="J127" i="5"/>
  <c r="J126" i="5"/>
  <c r="C122" i="5"/>
  <c r="J115" i="5"/>
  <c r="J114" i="5"/>
  <c r="J112" i="5"/>
  <c r="J111" i="5"/>
  <c r="J108" i="5"/>
  <c r="C101" i="5"/>
  <c r="J99" i="5"/>
  <c r="J98" i="5"/>
  <c r="C18" i="6"/>
  <c r="J80" i="5"/>
  <c r="J79" i="5"/>
  <c r="J74" i="5"/>
  <c r="J73" i="5"/>
  <c r="C65" i="5"/>
  <c r="J71" i="5"/>
  <c r="J69" i="5"/>
  <c r="J63" i="5"/>
  <c r="J54" i="5"/>
  <c r="C53" i="5"/>
  <c r="J43" i="5"/>
  <c r="J41" i="5"/>
  <c r="C22" i="5"/>
  <c r="J22" i="5"/>
  <c r="J23" i="5"/>
  <c r="J21" i="5"/>
  <c r="C20" i="5"/>
  <c r="C160" i="5"/>
  <c r="C16" i="5"/>
  <c r="C17" i="5"/>
  <c r="C18" i="5"/>
  <c r="C19" i="5"/>
  <c r="J19" i="5"/>
  <c r="C21" i="5"/>
  <c r="C23" i="5"/>
  <c r="C24" i="5"/>
  <c r="J24" i="5"/>
  <c r="C27" i="5"/>
  <c r="C28" i="5"/>
  <c r="C29" i="5"/>
  <c r="C30" i="5"/>
  <c r="C31" i="5"/>
  <c r="C32" i="5"/>
  <c r="C33" i="5"/>
  <c r="C34" i="5"/>
  <c r="J34" i="5"/>
  <c r="C35" i="5"/>
  <c r="C36" i="5"/>
  <c r="C37" i="5"/>
  <c r="C38" i="5"/>
  <c r="C39" i="5"/>
  <c r="C40" i="5"/>
  <c r="C41" i="5"/>
  <c r="C43" i="5"/>
  <c r="C44" i="5"/>
  <c r="C45" i="5"/>
  <c r="C46" i="5"/>
  <c r="C47" i="5"/>
  <c r="C49" i="5"/>
  <c r="C50" i="5"/>
  <c r="C51" i="5"/>
  <c r="C52" i="5"/>
  <c r="C54" i="5"/>
  <c r="J55" i="5"/>
  <c r="C56" i="5"/>
  <c r="C57" i="5"/>
  <c r="C58" i="5"/>
  <c r="C59" i="5"/>
  <c r="J59" i="5"/>
  <c r="C60" i="5"/>
  <c r="C61" i="5"/>
  <c r="C62" i="5"/>
  <c r="C63" i="5"/>
  <c r="C64" i="5"/>
  <c r="C66" i="5"/>
  <c r="J66" i="5"/>
  <c r="C70" i="5"/>
  <c r="J70" i="5"/>
  <c r="C68" i="5"/>
  <c r="J68" i="5"/>
  <c r="C69" i="5"/>
  <c r="C71" i="5"/>
  <c r="C72" i="5"/>
  <c r="J72" i="5"/>
  <c r="C73" i="5"/>
  <c r="C74" i="5"/>
  <c r="C75" i="5"/>
  <c r="C78" i="5"/>
  <c r="J78" i="5"/>
  <c r="C79" i="5"/>
  <c r="C80" i="5"/>
  <c r="C81" i="5"/>
  <c r="C82" i="5"/>
  <c r="J82" i="5"/>
  <c r="C83" i="5"/>
  <c r="C85" i="5"/>
  <c r="C86" i="5"/>
  <c r="C88" i="5"/>
  <c r="C89" i="5"/>
  <c r="C90" i="5"/>
  <c r="C91" i="5"/>
  <c r="J91" i="5"/>
  <c r="C92" i="5"/>
  <c r="C93" i="5"/>
  <c r="C94" i="5"/>
  <c r="C95" i="5"/>
  <c r="C96" i="5"/>
  <c r="C97" i="5"/>
  <c r="J97" i="5"/>
  <c r="C98" i="5"/>
  <c r="C99" i="5"/>
  <c r="C100" i="5"/>
  <c r="C103" i="5"/>
  <c r="C104" i="5"/>
  <c r="C106" i="5"/>
  <c r="C107" i="5"/>
  <c r="C108" i="5"/>
  <c r="C109" i="5"/>
  <c r="C111" i="5"/>
  <c r="C112" i="5"/>
  <c r="C113" i="5"/>
  <c r="J113" i="5"/>
  <c r="C114" i="5"/>
  <c r="C115" i="5"/>
  <c r="C116" i="5"/>
  <c r="C117" i="5"/>
  <c r="C118" i="5"/>
  <c r="C119" i="5"/>
  <c r="C120" i="5"/>
  <c r="C121" i="5"/>
  <c r="C123" i="5"/>
  <c r="C124" i="5"/>
  <c r="C125" i="5"/>
  <c r="J125" i="5"/>
  <c r="C126" i="5"/>
  <c r="C127" i="5"/>
  <c r="C130" i="5"/>
  <c r="J130" i="5"/>
  <c r="C131" i="5"/>
  <c r="C132" i="5"/>
  <c r="C133" i="5"/>
  <c r="C134" i="5"/>
  <c r="C135" i="5"/>
  <c r="C136" i="5"/>
  <c r="C137" i="5"/>
  <c r="C138" i="5"/>
  <c r="C139" i="5"/>
  <c r="C140" i="5"/>
  <c r="C141" i="5"/>
  <c r="J141" i="5"/>
  <c r="C142" i="5"/>
  <c r="C143" i="5"/>
  <c r="C144" i="5"/>
  <c r="C145" i="5"/>
  <c r="C146" i="5"/>
  <c r="C147" i="5"/>
  <c r="C149" i="5"/>
  <c r="C150" i="5"/>
  <c r="C151" i="5"/>
  <c r="C152" i="5"/>
  <c r="C153" i="5"/>
  <c r="C156" i="5"/>
  <c r="C157" i="5"/>
  <c r="C158" i="5"/>
  <c r="C159" i="5"/>
  <c r="C161" i="5"/>
  <c r="C162" i="5"/>
  <c r="J162" i="5"/>
  <c r="C163" i="5"/>
  <c r="C164" i="5"/>
  <c r="C165" i="5"/>
  <c r="C166" i="5"/>
  <c r="J166" i="5"/>
  <c r="C167" i="5"/>
  <c r="C168" i="5"/>
  <c r="C169" i="5"/>
  <c r="C170" i="5"/>
  <c r="C171" i="5"/>
  <c r="C172" i="5"/>
  <c r="J172" i="5"/>
  <c r="C173" i="5"/>
  <c r="C174" i="5"/>
  <c r="C175" i="5"/>
  <c r="C176" i="5"/>
  <c r="C177" i="5"/>
  <c r="C178" i="5"/>
  <c r="C179" i="5"/>
  <c r="C180" i="5"/>
  <c r="C181" i="5"/>
  <c r="C183" i="5"/>
  <c r="C184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4" i="5"/>
  <c r="C235" i="5"/>
  <c r="C236" i="5"/>
  <c r="C237" i="5"/>
  <c r="C238" i="5"/>
  <c r="J238" i="5"/>
  <c r="C239" i="5"/>
  <c r="C240" i="5"/>
  <c r="C241" i="5"/>
  <c r="J241" i="5"/>
  <c r="C242" i="5"/>
  <c r="C243" i="5"/>
  <c r="C244" i="5"/>
  <c r="C245" i="5"/>
  <c r="C246" i="5"/>
  <c r="C249" i="5"/>
  <c r="C250" i="5"/>
  <c r="C251" i="5"/>
  <c r="C252" i="5"/>
  <c r="J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J275" i="5"/>
  <c r="C276" i="5"/>
  <c r="J276" i="5"/>
  <c r="C277" i="5"/>
  <c r="C278" i="5"/>
  <c r="C279" i="5"/>
  <c r="C280" i="5"/>
  <c r="J280" i="5"/>
  <c r="C281" i="5"/>
  <c r="C282" i="5"/>
  <c r="C283" i="5"/>
  <c r="C284" i="5"/>
  <c r="C285" i="5"/>
  <c r="C286" i="5"/>
  <c r="J286" i="5"/>
  <c r="C287" i="5"/>
  <c r="C288" i="5"/>
  <c r="C289" i="5"/>
  <c r="C290" i="5"/>
  <c r="C291" i="5"/>
  <c r="C292" i="5"/>
  <c r="C293" i="5"/>
  <c r="C294" i="5"/>
  <c r="C297" i="5"/>
  <c r="J297" i="5"/>
  <c r="C298" i="5"/>
  <c r="C299" i="5"/>
  <c r="C300" i="5"/>
  <c r="C301" i="5"/>
  <c r="C302" i="5"/>
  <c r="C303" i="5"/>
  <c r="C304" i="5"/>
  <c r="C305" i="5"/>
  <c r="C306" i="5"/>
  <c r="C307" i="5"/>
  <c r="C308" i="5"/>
  <c r="C310" i="5"/>
  <c r="C311" i="5"/>
  <c r="C312" i="5"/>
  <c r="J312" i="5"/>
  <c r="C313" i="5"/>
  <c r="C314" i="5"/>
  <c r="C315" i="5"/>
  <c r="C316" i="5"/>
  <c r="J316" i="5"/>
  <c r="C317" i="5"/>
  <c r="C318" i="5"/>
  <c r="J318" i="5"/>
  <c r="C319" i="5"/>
  <c r="C320" i="5"/>
  <c r="C322" i="5"/>
  <c r="C323" i="5"/>
  <c r="J323" i="5"/>
  <c r="C324" i="5"/>
  <c r="J324" i="5"/>
  <c r="C325" i="5"/>
  <c r="C326" i="5"/>
  <c r="C327" i="5"/>
  <c r="C328" i="5"/>
  <c r="J328" i="5"/>
  <c r="C329" i="5"/>
  <c r="J329" i="5"/>
  <c r="C330" i="5"/>
  <c r="C331" i="5"/>
  <c r="J331" i="5"/>
  <c r="C332" i="5"/>
  <c r="C333" i="5"/>
  <c r="J333" i="5"/>
  <c r="C334" i="5"/>
  <c r="C336" i="5"/>
  <c r="J336" i="5"/>
  <c r="C337" i="5"/>
  <c r="C338" i="5"/>
  <c r="C339" i="5"/>
  <c r="J339" i="5"/>
  <c r="C340" i="5"/>
  <c r="C341" i="5"/>
  <c r="C342" i="5"/>
  <c r="C343" i="5"/>
  <c r="C344" i="5"/>
  <c r="J344" i="5"/>
  <c r="C345" i="5"/>
  <c r="C346" i="5"/>
  <c r="J346" i="5"/>
  <c r="C347" i="5"/>
  <c r="C348" i="5"/>
  <c r="C349" i="5"/>
  <c r="J349" i="5"/>
  <c r="C350" i="5"/>
  <c r="C351" i="5"/>
  <c r="J351" i="5"/>
  <c r="C352" i="5"/>
  <c r="C353" i="5"/>
  <c r="C354" i="5"/>
  <c r="C355" i="5"/>
  <c r="C356" i="5"/>
  <c r="J356" i="5"/>
  <c r="C357" i="5"/>
  <c r="C358" i="5"/>
  <c r="C359" i="5"/>
  <c r="C360" i="5"/>
  <c r="C361" i="5"/>
  <c r="C362" i="5"/>
  <c r="C363" i="5"/>
  <c r="J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J376" i="5"/>
  <c r="C377" i="5"/>
  <c r="C379" i="5"/>
  <c r="C380" i="5"/>
  <c r="J380" i="5"/>
  <c r="C381" i="5"/>
  <c r="C382" i="5"/>
  <c r="C383" i="5"/>
  <c r="C384" i="5"/>
  <c r="C385" i="5"/>
  <c r="C386" i="5"/>
  <c r="C387" i="5"/>
  <c r="J387" i="5"/>
  <c r="C388" i="5"/>
  <c r="J388" i="5"/>
  <c r="C390" i="5"/>
  <c r="J390" i="5"/>
  <c r="C391" i="5"/>
  <c r="C392" i="5"/>
  <c r="C393" i="5"/>
  <c r="J393" i="5"/>
  <c r="C394" i="5"/>
  <c r="J394" i="5"/>
  <c r="C395" i="5"/>
  <c r="J395" i="5"/>
  <c r="C396" i="5"/>
  <c r="J396" i="5"/>
  <c r="C397" i="5"/>
  <c r="J397" i="5"/>
  <c r="C398" i="5"/>
  <c r="J398" i="5"/>
  <c r="C400" i="5"/>
  <c r="C401" i="5"/>
  <c r="C402" i="5"/>
  <c r="J402" i="5"/>
  <c r="C404" i="5"/>
  <c r="J404" i="5"/>
  <c r="C405" i="5"/>
  <c r="J405" i="5"/>
  <c r="C406" i="5"/>
  <c r="J406" i="5"/>
  <c r="C407" i="5"/>
  <c r="J407" i="5"/>
  <c r="C408" i="5"/>
  <c r="C409" i="5"/>
  <c r="C410" i="5"/>
  <c r="C411" i="5"/>
  <c r="C413" i="5"/>
  <c r="C414" i="5"/>
  <c r="C415" i="5"/>
  <c r="C416" i="5"/>
  <c r="C417" i="5"/>
  <c r="C418" i="5"/>
  <c r="C419" i="5"/>
  <c r="J419" i="5"/>
  <c r="C420" i="5"/>
  <c r="J420" i="5"/>
  <c r="C421" i="5"/>
  <c r="J421" i="5"/>
  <c r="C422" i="5"/>
  <c r="J422" i="5"/>
  <c r="C423" i="5"/>
  <c r="C424" i="5"/>
  <c r="C425" i="5"/>
  <c r="C426" i="5"/>
  <c r="J426" i="5"/>
  <c r="C427" i="5"/>
  <c r="J427" i="5"/>
  <c r="C428" i="5"/>
  <c r="C429" i="5"/>
  <c r="J429" i="5"/>
  <c r="C430" i="5"/>
  <c r="C431" i="5"/>
  <c r="C432" i="5"/>
  <c r="C433" i="5"/>
  <c r="J433" i="5"/>
  <c r="C434" i="5"/>
  <c r="J434" i="5"/>
  <c r="C435" i="5"/>
  <c r="C436" i="5"/>
  <c r="C437" i="5"/>
  <c r="C438" i="5"/>
  <c r="C439" i="5"/>
  <c r="C440" i="5"/>
  <c r="J441" i="5"/>
  <c r="C442" i="5"/>
  <c r="J442" i="5"/>
  <c r="C443" i="5"/>
  <c r="J443" i="5"/>
  <c r="C444" i="5"/>
  <c r="J444" i="5"/>
  <c r="C445" i="5"/>
  <c r="J445" i="5"/>
  <c r="C446" i="5"/>
  <c r="C447" i="5"/>
  <c r="J447" i="5"/>
  <c r="C448" i="5"/>
  <c r="J448" i="5"/>
  <c r="C449" i="5"/>
  <c r="C450" i="5"/>
  <c r="J450" i="5"/>
  <c r="C451" i="5"/>
  <c r="C452" i="5"/>
  <c r="C453" i="5"/>
  <c r="C454" i="5"/>
  <c r="J454" i="5"/>
  <c r="C455" i="5"/>
  <c r="J455" i="5"/>
  <c r="C456" i="5"/>
  <c r="J456" i="5"/>
  <c r="C457" i="5"/>
  <c r="C458" i="5"/>
  <c r="C459" i="5"/>
  <c r="J459" i="5"/>
  <c r="C460" i="5"/>
  <c r="J460" i="5"/>
  <c r="C461" i="5"/>
  <c r="C462" i="5"/>
  <c r="J462" i="5"/>
  <c r="C463" i="5"/>
  <c r="J463" i="5"/>
  <c r="C464" i="5"/>
  <c r="J464" i="5"/>
  <c r="C465" i="5"/>
  <c r="J465" i="5"/>
  <c r="C466" i="5"/>
  <c r="C469" i="5"/>
  <c r="J469" i="5"/>
  <c r="C467" i="5"/>
  <c r="J467" i="5"/>
  <c r="C468" i="5"/>
  <c r="C470" i="5"/>
  <c r="C471" i="5"/>
  <c r="J471" i="5"/>
  <c r="C472" i="5"/>
  <c r="C473" i="5"/>
  <c r="J473" i="5"/>
  <c r="C474" i="5"/>
  <c r="C475" i="5"/>
  <c r="C476" i="5"/>
  <c r="C477" i="5"/>
  <c r="J477" i="5"/>
  <c r="C478" i="5"/>
  <c r="J478" i="5"/>
  <c r="C479" i="5"/>
  <c r="C480" i="5"/>
  <c r="C481" i="5"/>
  <c r="C482" i="5"/>
  <c r="J482" i="5"/>
  <c r="C483" i="5"/>
  <c r="C484" i="5"/>
  <c r="C485" i="5"/>
  <c r="J485" i="5"/>
  <c r="C486" i="5"/>
  <c r="J486" i="5"/>
  <c r="C487" i="5"/>
  <c r="J487" i="5"/>
  <c r="C488" i="5"/>
  <c r="C489" i="5"/>
  <c r="J489" i="5"/>
  <c r="C490" i="5"/>
  <c r="C491" i="5"/>
  <c r="C492" i="5"/>
  <c r="C495" i="5"/>
  <c r="C496" i="5"/>
  <c r="C498" i="5"/>
  <c r="C499" i="5"/>
  <c r="C500" i="5"/>
  <c r="C501" i="5"/>
  <c r="C502" i="5"/>
  <c r="J502" i="5"/>
  <c r="C503" i="5"/>
  <c r="J503" i="5"/>
  <c r="C504" i="5"/>
  <c r="J504" i="5"/>
  <c r="C505" i="5"/>
  <c r="C506" i="5"/>
  <c r="J506" i="5"/>
  <c r="C507" i="5"/>
  <c r="C508" i="5"/>
  <c r="C510" i="5"/>
  <c r="C512" i="5"/>
  <c r="C513" i="5"/>
  <c r="C514" i="5"/>
  <c r="C515" i="5"/>
  <c r="C516" i="5"/>
  <c r="C517" i="5"/>
  <c r="J517" i="5"/>
  <c r="C518" i="5"/>
  <c r="J518" i="5"/>
  <c r="C519" i="5"/>
  <c r="C520" i="5"/>
  <c r="C521" i="5"/>
  <c r="C522" i="5"/>
  <c r="J522" i="5"/>
  <c r="C523" i="5"/>
  <c r="J523" i="5"/>
  <c r="C524" i="5"/>
  <c r="J524" i="5"/>
  <c r="C525" i="5"/>
  <c r="J525" i="5"/>
  <c r="C526" i="5"/>
  <c r="J526" i="5"/>
  <c r="C527" i="5"/>
  <c r="J527" i="5"/>
  <c r="C528" i="5"/>
  <c r="J528" i="5"/>
  <c r="C529" i="5"/>
  <c r="C530" i="5"/>
  <c r="C531" i="5"/>
  <c r="J531" i="5"/>
  <c r="C532" i="5"/>
  <c r="C533" i="5"/>
  <c r="C534" i="5"/>
  <c r="C535" i="5"/>
  <c r="J535" i="5"/>
  <c r="C538" i="5"/>
  <c r="J538" i="5"/>
  <c r="C539" i="5"/>
  <c r="J539" i="5"/>
  <c r="C540" i="5"/>
  <c r="C541" i="5"/>
  <c r="C542" i="5"/>
  <c r="C543" i="5"/>
  <c r="C544" i="5"/>
  <c r="J544" i="5"/>
  <c r="C545" i="5"/>
  <c r="J545" i="5"/>
  <c r="C546" i="5"/>
  <c r="J546" i="5"/>
  <c r="C547" i="5"/>
  <c r="J547" i="5"/>
  <c r="C548" i="5"/>
  <c r="J548" i="5"/>
  <c r="C550" i="5"/>
  <c r="J550" i="5"/>
  <c r="C551" i="5"/>
  <c r="J551" i="5"/>
  <c r="C552" i="5"/>
  <c r="C553" i="5"/>
  <c r="C554" i="5"/>
  <c r="C555" i="5"/>
  <c r="C556" i="5"/>
  <c r="J556" i="5"/>
  <c r="C557" i="5"/>
  <c r="J557" i="5"/>
  <c r="C558" i="5"/>
  <c r="C560" i="5"/>
  <c r="C561" i="5"/>
  <c r="C562" i="5"/>
  <c r="J562" i="5"/>
  <c r="C563" i="5"/>
  <c r="J563" i="5"/>
  <c r="C568" i="5"/>
  <c r="C569" i="5"/>
  <c r="C570" i="5"/>
  <c r="C571" i="5"/>
  <c r="C572" i="5"/>
  <c r="C573" i="5"/>
  <c r="C574" i="5"/>
  <c r="C575" i="5"/>
  <c r="C576" i="5"/>
  <c r="C577" i="5"/>
  <c r="C582" i="5"/>
  <c r="J582" i="5"/>
  <c r="C583" i="5"/>
  <c r="J583" i="5"/>
  <c r="C584" i="5"/>
  <c r="C585" i="5"/>
  <c r="J585" i="5"/>
  <c r="C586" i="5"/>
  <c r="C587" i="5"/>
  <c r="C588" i="5"/>
  <c r="C589" i="5"/>
  <c r="J589" i="5"/>
  <c r="C591" i="5"/>
  <c r="J591" i="5"/>
  <c r="C592" i="5"/>
  <c r="C593" i="5"/>
  <c r="C594" i="5"/>
  <c r="C595" i="5"/>
  <c r="J595" i="5"/>
  <c r="C596" i="5"/>
  <c r="J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J610" i="5"/>
  <c r="C611" i="5"/>
  <c r="C612" i="5"/>
  <c r="J612" i="5"/>
  <c r="C613" i="5"/>
  <c r="C614" i="5"/>
  <c r="C615" i="5"/>
  <c r="J615" i="5"/>
  <c r="C616" i="5"/>
  <c r="J616" i="5"/>
  <c r="C618" i="5"/>
  <c r="C619" i="5"/>
  <c r="C621" i="5"/>
  <c r="J621" i="5"/>
  <c r="C622" i="5"/>
  <c r="C623" i="5"/>
  <c r="C625" i="5"/>
  <c r="C626" i="5"/>
  <c r="J626" i="5"/>
  <c r="C627" i="5"/>
  <c r="C628" i="5"/>
  <c r="C629" i="5"/>
  <c r="C630" i="5"/>
  <c r="J630" i="5"/>
  <c r="C631" i="5"/>
  <c r="J631" i="5"/>
  <c r="C632" i="5"/>
  <c r="C633" i="5"/>
  <c r="C635" i="5"/>
  <c r="C636" i="5"/>
  <c r="C637" i="5"/>
  <c r="J637" i="5"/>
  <c r="C638" i="5"/>
  <c r="J638" i="5"/>
  <c r="C639" i="5"/>
  <c r="C640" i="5"/>
  <c r="J640" i="5"/>
  <c r="C641" i="5"/>
  <c r="C642" i="5"/>
  <c r="C643" i="5"/>
  <c r="C644" i="5"/>
  <c r="C645" i="5"/>
  <c r="C646" i="5"/>
  <c r="J646" i="5"/>
  <c r="C647" i="5"/>
  <c r="C648" i="5"/>
  <c r="C649" i="5"/>
  <c r="C650" i="5"/>
  <c r="C651" i="5"/>
  <c r="C652" i="5"/>
  <c r="C653" i="5"/>
  <c r="C654" i="5"/>
  <c r="C655" i="5"/>
  <c r="C656" i="5"/>
  <c r="C657" i="5"/>
  <c r="J657" i="5"/>
  <c r="C658" i="5"/>
  <c r="C659" i="5"/>
  <c r="C660" i="5"/>
  <c r="C661" i="5"/>
  <c r="C663" i="5"/>
  <c r="C664" i="5"/>
  <c r="C665" i="5"/>
  <c r="C666" i="5"/>
  <c r="C668" i="5"/>
  <c r="C670" i="5"/>
  <c r="C671" i="5"/>
  <c r="C673" i="5"/>
  <c r="J673" i="5"/>
  <c r="C674" i="5"/>
  <c r="J674" i="5"/>
  <c r="C675" i="5"/>
  <c r="J675" i="5"/>
  <c r="C676" i="5"/>
  <c r="C677" i="5"/>
  <c r="J677" i="5"/>
  <c r="C679" i="5"/>
  <c r="C682" i="5"/>
  <c r="C683" i="5"/>
  <c r="C684" i="5"/>
  <c r="C685" i="5"/>
  <c r="C686" i="5"/>
  <c r="C687" i="5"/>
  <c r="C689" i="5"/>
  <c r="J689" i="5"/>
  <c r="C690" i="5"/>
  <c r="J690" i="5"/>
  <c r="C691" i="5"/>
  <c r="J691" i="5"/>
  <c r="C692" i="5"/>
  <c r="J692" i="5"/>
  <c r="C693" i="5"/>
  <c r="C411" i="6"/>
  <c r="C361" i="6"/>
  <c r="C321" i="6"/>
  <c r="C315" i="6"/>
  <c r="C299" i="6"/>
  <c r="C288" i="6"/>
  <c r="C272" i="6"/>
  <c r="C171" i="6"/>
  <c r="C91" i="6"/>
  <c r="C88" i="6"/>
  <c r="C29" i="6"/>
  <c r="C23" i="6"/>
  <c r="C101" i="1"/>
  <c r="C199" i="1"/>
  <c r="C191" i="1"/>
  <c r="C23" i="1"/>
  <c r="C24" i="1"/>
  <c r="C65" i="1"/>
  <c r="C66" i="1"/>
  <c r="C34" i="1"/>
  <c r="C25" i="1"/>
  <c r="C26" i="1"/>
  <c r="C31" i="1"/>
  <c r="C32" i="1"/>
  <c r="C33" i="1"/>
  <c r="C35" i="1"/>
  <c r="C27" i="1"/>
  <c r="C28" i="1"/>
  <c r="C104" i="1"/>
  <c r="C105" i="1"/>
  <c r="C37" i="1"/>
  <c r="C39" i="1"/>
  <c r="C192" i="1"/>
  <c r="C18" i="1"/>
  <c r="C109" i="1"/>
  <c r="C14" i="1"/>
  <c r="C125" i="1"/>
  <c r="C126" i="1"/>
  <c r="C40" i="1"/>
  <c r="C5" i="1"/>
  <c r="C12" i="1"/>
  <c r="C13" i="1"/>
  <c r="C45" i="1"/>
  <c r="C46" i="1"/>
  <c r="C47" i="1"/>
  <c r="C48" i="1"/>
  <c r="C107" i="1"/>
  <c r="C83" i="1"/>
  <c r="C153" i="1"/>
  <c r="C154" i="1"/>
  <c r="C49" i="1"/>
  <c r="C50" i="1"/>
  <c r="C58" i="1"/>
  <c r="C59" i="1"/>
  <c r="C60" i="1"/>
  <c r="C62" i="1"/>
  <c r="C63" i="1"/>
  <c r="C56" i="1"/>
  <c r="C57" i="1"/>
  <c r="C6" i="1"/>
  <c r="C8" i="1"/>
  <c r="C10" i="1"/>
  <c r="C11" i="1"/>
  <c r="C29" i="1"/>
  <c r="C30" i="1"/>
  <c r="C81" i="1"/>
  <c r="C51" i="1"/>
  <c r="C88" i="1"/>
  <c r="C103" i="1"/>
  <c r="C20" i="1"/>
  <c r="C21" i="1"/>
  <c r="C87" i="1"/>
  <c r="C67" i="1"/>
  <c r="C175" i="1"/>
  <c r="C176" i="1"/>
  <c r="C177" i="1"/>
  <c r="C172" i="1"/>
  <c r="C173" i="1"/>
  <c r="C174" i="1"/>
  <c r="C166" i="1"/>
  <c r="C17" i="6"/>
  <c r="C16" i="6"/>
  <c r="C15" i="6"/>
  <c r="C14" i="6"/>
  <c r="C13" i="6"/>
  <c r="C12" i="6"/>
  <c r="C11" i="6"/>
  <c r="C10" i="6"/>
  <c r="C9" i="6"/>
  <c r="C8" i="6"/>
  <c r="C7" i="6"/>
  <c r="C6" i="6"/>
  <c r="C19" i="6"/>
  <c r="C20" i="6"/>
  <c r="C21" i="6"/>
  <c r="C22" i="6"/>
  <c r="C24" i="6"/>
  <c r="C27" i="6"/>
  <c r="C28" i="6"/>
  <c r="C30" i="6"/>
  <c r="C31" i="6"/>
  <c r="C32" i="6"/>
  <c r="C34" i="6"/>
  <c r="C35" i="6"/>
  <c r="C37" i="6"/>
  <c r="C38" i="6"/>
  <c r="C39" i="6"/>
  <c r="C40" i="6"/>
  <c r="C72" i="6"/>
  <c r="C73" i="6"/>
  <c r="C74" i="6"/>
  <c r="C75" i="6"/>
  <c r="C77" i="6"/>
  <c r="C78" i="6"/>
  <c r="C79" i="6"/>
  <c r="C80" i="6"/>
  <c r="C81" i="6"/>
  <c r="C82" i="6"/>
  <c r="C83" i="6"/>
  <c r="C84" i="6"/>
  <c r="C85" i="6"/>
  <c r="C86" i="6"/>
  <c r="C87" i="6"/>
  <c r="C89" i="6"/>
  <c r="C90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1" i="6"/>
  <c r="C110" i="6"/>
  <c r="C112" i="6"/>
  <c r="C113" i="6"/>
  <c r="C114" i="6"/>
  <c r="C115" i="6"/>
  <c r="C116" i="6"/>
  <c r="C117" i="6"/>
  <c r="C118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2" i="6"/>
  <c r="C191" i="6"/>
  <c r="C193" i="6"/>
  <c r="C194" i="6"/>
  <c r="C199" i="6"/>
  <c r="C195" i="6"/>
  <c r="C196" i="6"/>
  <c r="C197" i="6"/>
  <c r="C198" i="6"/>
  <c r="C200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5" i="6"/>
  <c r="C226" i="6"/>
  <c r="C229" i="6"/>
  <c r="C230" i="6"/>
  <c r="C224" i="6"/>
  <c r="C227" i="6"/>
  <c r="C228" i="6"/>
  <c r="C231" i="6"/>
  <c r="C232" i="6"/>
  <c r="C233" i="6"/>
  <c r="C234" i="6"/>
  <c r="C265" i="6"/>
  <c r="C266" i="6"/>
  <c r="C267" i="6"/>
  <c r="C268" i="6"/>
  <c r="C269" i="6"/>
  <c r="C270" i="6"/>
  <c r="C271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9" i="6"/>
  <c r="C290" i="6"/>
  <c r="C291" i="6"/>
  <c r="C292" i="6"/>
  <c r="C293" i="6"/>
  <c r="C294" i="6"/>
  <c r="C295" i="6"/>
  <c r="C296" i="6"/>
  <c r="C297" i="6"/>
  <c r="C298" i="6"/>
  <c r="C300" i="6"/>
  <c r="C301" i="6"/>
  <c r="C302" i="6"/>
  <c r="C303" i="6"/>
  <c r="C304" i="6"/>
  <c r="C305" i="6"/>
  <c r="C306" i="6"/>
  <c r="C307" i="6"/>
  <c r="C309" i="6"/>
  <c r="C308" i="6"/>
  <c r="C310" i="6"/>
  <c r="C311" i="6"/>
  <c r="C312" i="6"/>
  <c r="C313" i="6"/>
  <c r="C314" i="6"/>
  <c r="C316" i="6"/>
  <c r="C317" i="6"/>
  <c r="C318" i="6"/>
  <c r="C319" i="6"/>
  <c r="C320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8" i="6"/>
  <c r="C407" i="6"/>
  <c r="C409" i="6"/>
  <c r="C410" i="6"/>
  <c r="C412" i="6"/>
  <c r="C413" i="6"/>
  <c r="C414" i="6"/>
  <c r="C415" i="6"/>
  <c r="C416" i="6"/>
  <c r="C417" i="6"/>
  <c r="C418" i="6"/>
  <c r="C421" i="6"/>
  <c r="C419" i="6"/>
  <c r="C420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2" i="6"/>
  <c r="C460" i="6"/>
  <c r="C461" i="6"/>
  <c r="C463" i="6"/>
  <c r="C464" i="6"/>
  <c r="C465" i="6"/>
  <c r="C466" i="6"/>
  <c r="C167" i="1"/>
  <c r="C168" i="1"/>
  <c r="C69" i="1"/>
  <c r="C70" i="1"/>
  <c r="C214" i="1"/>
  <c r="C226" i="1"/>
  <c r="C227" i="1"/>
  <c r="C84" i="1"/>
  <c r="C193" i="1"/>
  <c r="C216" i="1"/>
  <c r="C181" i="1"/>
  <c r="C182" i="1"/>
  <c r="C183" i="1"/>
  <c r="C187" i="1"/>
  <c r="C188" i="1"/>
  <c r="C189" i="1"/>
  <c r="C73" i="1"/>
  <c r="C76" i="1"/>
  <c r="C44" i="1"/>
  <c r="C93" i="1"/>
  <c r="C94" i="1"/>
  <c r="C97" i="1"/>
  <c r="C98" i="1"/>
  <c r="C99" i="1"/>
  <c r="C100" i="1"/>
  <c r="C54" i="1"/>
  <c r="C55" i="1"/>
  <c r="C77" i="1"/>
  <c r="C42" i="1"/>
  <c r="C43" i="1"/>
  <c r="C219" i="1"/>
  <c r="C220" i="1"/>
  <c r="C221" i="1"/>
  <c r="C86" i="1"/>
  <c r="C106" i="1"/>
  <c r="C16" i="1"/>
  <c r="C17" i="1"/>
  <c r="C222" i="1"/>
  <c r="C223" i="1"/>
  <c r="C224" i="1"/>
  <c r="C41" i="1"/>
  <c r="C91" i="1"/>
  <c r="C228" i="1"/>
  <c r="C111" i="1"/>
  <c r="C119" i="1"/>
  <c r="C118" i="1"/>
  <c r="C120" i="1"/>
  <c r="C123" i="1"/>
  <c r="C121" i="1"/>
  <c r="C178" i="1"/>
  <c r="C61" i="1"/>
  <c r="C128" i="1"/>
  <c r="C215" i="1"/>
  <c r="C160" i="1"/>
  <c r="C161" i="1"/>
  <c r="C162" i="1"/>
  <c r="C165" i="1"/>
  <c r="C129" i="1"/>
  <c r="C130" i="1"/>
  <c r="C71" i="1"/>
  <c r="C72" i="1"/>
  <c r="C217" i="1"/>
  <c r="C225" i="1"/>
  <c r="C64" i="1"/>
  <c r="C200" i="1"/>
  <c r="C131" i="1"/>
  <c r="C198" i="1"/>
  <c r="C122" i="1"/>
  <c r="C195" i="1"/>
  <c r="C148" i="1"/>
  <c r="C134" i="1"/>
  <c r="C135" i="1"/>
  <c r="C218" i="1"/>
  <c r="C209" i="1"/>
  <c r="C136" i="1"/>
  <c r="C149" i="1"/>
  <c r="C158" i="1"/>
  <c r="C150" i="1"/>
  <c r="C157" i="1"/>
  <c r="C194" i="1"/>
  <c r="C203" i="1"/>
  <c r="C138" i="1"/>
  <c r="C139" i="1"/>
  <c r="C141" i="1"/>
  <c r="C142" i="1"/>
  <c r="C140" i="1"/>
  <c r="C210" i="1"/>
  <c r="C208" i="1"/>
  <c r="C152" i="1"/>
  <c r="C197" i="1"/>
  <c r="C143" i="1"/>
  <c r="C151" i="1"/>
  <c r="C144" i="1"/>
  <c r="C206" i="1"/>
  <c r="C207" i="1"/>
  <c r="C145" i="1"/>
  <c r="C211" i="1"/>
  <c r="C146" i="1"/>
  <c r="C159" i="1"/>
  <c r="C213" i="1"/>
  <c r="C212" i="1"/>
  <c r="C196" i="1"/>
  <c r="C147" i="1"/>
  <c r="C231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D155" i="5" l="1"/>
  <c r="D102" i="5"/>
  <c r="D105" i="5"/>
  <c r="D110" i="5"/>
  <c r="D76" i="5"/>
  <c r="D77" i="5"/>
  <c r="D48" i="5"/>
  <c r="D26" i="5"/>
  <c r="D25" i="5"/>
  <c r="D42" i="5"/>
  <c r="D67" i="5"/>
  <c r="D84" i="5"/>
  <c r="D87" i="5"/>
  <c r="D9" i="5"/>
  <c r="D5" i="5"/>
  <c r="D9" i="6"/>
  <c r="D10" i="5"/>
  <c r="D11" i="5"/>
  <c r="D12" i="5"/>
  <c r="D13" i="5"/>
  <c r="D14" i="5"/>
  <c r="D15" i="5"/>
  <c r="D16" i="5"/>
  <c r="D17" i="5"/>
  <c r="D18" i="5"/>
  <c r="D19" i="5"/>
  <c r="D20" i="5"/>
  <c r="D6" i="5"/>
  <c r="D347" i="6"/>
  <c r="D322" i="6"/>
  <c r="D123" i="6"/>
  <c r="D5" i="6"/>
  <c r="D8" i="5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55" i="7"/>
  <c r="E56" i="7"/>
  <c r="E57" i="7"/>
  <c r="E58" i="7"/>
  <c r="E6" i="7"/>
  <c r="E7" i="7"/>
  <c r="E8" i="7"/>
  <c r="E5" i="7"/>
  <c r="D273" i="6"/>
  <c r="D672" i="5"/>
  <c r="D624" i="5"/>
  <c r="D610" i="5"/>
  <c r="D590" i="5"/>
  <c r="D581" i="5"/>
  <c r="D580" i="5"/>
  <c r="D579" i="5"/>
  <c r="D565" i="5"/>
  <c r="D566" i="5"/>
  <c r="D564" i="5"/>
  <c r="D537" i="5"/>
  <c r="D536" i="5"/>
  <c r="D511" i="5"/>
  <c r="D509" i="5"/>
  <c r="D335" i="5"/>
  <c r="D296" i="5"/>
  <c r="D182" i="5"/>
  <c r="D33" i="6"/>
  <c r="D154" i="5"/>
  <c r="D148" i="5"/>
  <c r="D22" i="5"/>
  <c r="D684" i="5"/>
  <c r="D637" i="5"/>
  <c r="D169" i="5"/>
  <c r="D160" i="5"/>
  <c r="D53" i="5"/>
  <c r="D65" i="5"/>
  <c r="D18" i="6"/>
  <c r="D101" i="5"/>
  <c r="D128" i="5"/>
  <c r="D25" i="6"/>
  <c r="D26" i="6"/>
  <c r="D185" i="5"/>
  <c r="D233" i="5"/>
  <c r="D76" i="6"/>
  <c r="D309" i="5"/>
  <c r="D321" i="5"/>
  <c r="D295" i="5"/>
  <c r="D378" i="5"/>
  <c r="D389" i="5"/>
  <c r="D399" i="5"/>
  <c r="D403" i="5"/>
  <c r="D412" i="5"/>
  <c r="D493" i="5"/>
  <c r="D494" i="5"/>
  <c r="D497" i="5"/>
  <c r="D172" i="6"/>
  <c r="D549" i="5"/>
  <c r="D559" i="5"/>
  <c r="D567" i="5"/>
  <c r="D578" i="5"/>
  <c r="D201" i="6"/>
  <c r="D617" i="5"/>
  <c r="D620" i="5"/>
  <c r="D634" i="5"/>
  <c r="D662" i="5"/>
  <c r="D667" i="5"/>
  <c r="D669" i="5"/>
  <c r="D678" i="5"/>
  <c r="D680" i="5"/>
  <c r="D681" i="5"/>
  <c r="D688" i="5"/>
  <c r="D7" i="5"/>
  <c r="D113" i="6"/>
  <c r="D21" i="5"/>
  <c r="D23" i="5"/>
  <c r="D24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3" i="5"/>
  <c r="D44" i="5"/>
  <c r="D45" i="5"/>
  <c r="D46" i="5"/>
  <c r="D47" i="5"/>
  <c r="D49" i="5"/>
  <c r="D50" i="5"/>
  <c r="D51" i="5"/>
  <c r="D52" i="5"/>
  <c r="D54" i="5"/>
  <c r="D55" i="5"/>
  <c r="D56" i="5"/>
  <c r="D57" i="5"/>
  <c r="D58" i="5"/>
  <c r="D59" i="5"/>
  <c r="D60" i="5"/>
  <c r="D61" i="5"/>
  <c r="D62" i="5"/>
  <c r="D63" i="5"/>
  <c r="D64" i="5"/>
  <c r="D66" i="5"/>
  <c r="D70" i="5"/>
  <c r="D68" i="5"/>
  <c r="D69" i="5"/>
  <c r="D71" i="5"/>
  <c r="D72" i="5"/>
  <c r="D73" i="5"/>
  <c r="D74" i="5"/>
  <c r="D75" i="5"/>
  <c r="D78" i="5"/>
  <c r="D79" i="5"/>
  <c r="D80" i="5"/>
  <c r="D81" i="5"/>
  <c r="D82" i="5"/>
  <c r="D83" i="5"/>
  <c r="D85" i="5"/>
  <c r="D86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3" i="5"/>
  <c r="D104" i="5"/>
  <c r="D106" i="5"/>
  <c r="D107" i="5"/>
  <c r="D108" i="5"/>
  <c r="D109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9" i="5"/>
  <c r="D150" i="5"/>
  <c r="D151" i="5"/>
  <c r="D152" i="5"/>
  <c r="D153" i="5"/>
  <c r="D156" i="5"/>
  <c r="D157" i="5"/>
  <c r="D158" i="5"/>
  <c r="D159" i="5"/>
  <c r="D161" i="5"/>
  <c r="D162" i="5"/>
  <c r="D163" i="5"/>
  <c r="D164" i="5"/>
  <c r="D165" i="5"/>
  <c r="D166" i="5"/>
  <c r="D167" i="5"/>
  <c r="D168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3" i="5"/>
  <c r="D184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10" i="5"/>
  <c r="D311" i="5"/>
  <c r="D312" i="5"/>
  <c r="D313" i="5"/>
  <c r="D314" i="5"/>
  <c r="D315" i="5"/>
  <c r="D316" i="5"/>
  <c r="D317" i="5"/>
  <c r="D318" i="5"/>
  <c r="D319" i="5"/>
  <c r="D320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9" i="5"/>
  <c r="D380" i="5"/>
  <c r="D381" i="5"/>
  <c r="D382" i="5"/>
  <c r="D383" i="5"/>
  <c r="D384" i="5"/>
  <c r="D385" i="5"/>
  <c r="D386" i="5"/>
  <c r="D387" i="5"/>
  <c r="D388" i="5"/>
  <c r="D390" i="5"/>
  <c r="D391" i="5"/>
  <c r="D392" i="5"/>
  <c r="D393" i="5"/>
  <c r="D394" i="5"/>
  <c r="D395" i="5"/>
  <c r="D396" i="5"/>
  <c r="D397" i="5"/>
  <c r="D398" i="5"/>
  <c r="D400" i="5"/>
  <c r="D401" i="5"/>
  <c r="D402" i="5"/>
  <c r="D404" i="5"/>
  <c r="D405" i="5"/>
  <c r="D406" i="5"/>
  <c r="D407" i="5"/>
  <c r="D408" i="5"/>
  <c r="D409" i="5"/>
  <c r="D410" i="5"/>
  <c r="D411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9" i="5"/>
  <c r="D467" i="5"/>
  <c r="D468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5" i="5"/>
  <c r="D496" i="5"/>
  <c r="D498" i="5"/>
  <c r="D499" i="5"/>
  <c r="D500" i="5"/>
  <c r="D501" i="5"/>
  <c r="D502" i="5"/>
  <c r="D503" i="5"/>
  <c r="D504" i="5"/>
  <c r="D505" i="5"/>
  <c r="D506" i="5"/>
  <c r="D507" i="5"/>
  <c r="D508" i="5"/>
  <c r="D510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8" i="5"/>
  <c r="D539" i="5"/>
  <c r="D540" i="5"/>
  <c r="D541" i="5"/>
  <c r="D542" i="5"/>
  <c r="D543" i="5"/>
  <c r="D544" i="5"/>
  <c r="D545" i="5"/>
  <c r="D546" i="5"/>
  <c r="D547" i="5"/>
  <c r="D548" i="5"/>
  <c r="D550" i="5"/>
  <c r="D551" i="5"/>
  <c r="D552" i="5"/>
  <c r="D553" i="5"/>
  <c r="D554" i="5"/>
  <c r="D555" i="5"/>
  <c r="D556" i="5"/>
  <c r="D557" i="5"/>
  <c r="D558" i="5"/>
  <c r="D560" i="5"/>
  <c r="D561" i="5"/>
  <c r="D562" i="5"/>
  <c r="D563" i="5"/>
  <c r="D568" i="5"/>
  <c r="D569" i="5"/>
  <c r="D570" i="5"/>
  <c r="D571" i="5"/>
  <c r="D572" i="5"/>
  <c r="D573" i="5"/>
  <c r="D574" i="5"/>
  <c r="D575" i="5"/>
  <c r="D576" i="5"/>
  <c r="D577" i="5"/>
  <c r="D582" i="5"/>
  <c r="D583" i="5"/>
  <c r="D584" i="5"/>
  <c r="D585" i="5"/>
  <c r="D586" i="5"/>
  <c r="D587" i="5"/>
  <c r="D588" i="5"/>
  <c r="D589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1" i="5"/>
  <c r="D612" i="5"/>
  <c r="D613" i="5"/>
  <c r="D614" i="5"/>
  <c r="D615" i="5"/>
  <c r="D616" i="5"/>
  <c r="D618" i="5"/>
  <c r="D619" i="5"/>
  <c r="D621" i="5"/>
  <c r="D622" i="5"/>
  <c r="D623" i="5"/>
  <c r="D625" i="5"/>
  <c r="D626" i="5"/>
  <c r="D627" i="5"/>
  <c r="D628" i="5"/>
  <c r="D629" i="5"/>
  <c r="D630" i="5"/>
  <c r="D631" i="5"/>
  <c r="D632" i="5"/>
  <c r="D633" i="5"/>
  <c r="D635" i="5"/>
  <c r="D636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3" i="5"/>
  <c r="D664" i="5"/>
  <c r="D665" i="5"/>
  <c r="D666" i="5"/>
  <c r="D668" i="5"/>
  <c r="D670" i="5"/>
  <c r="D671" i="5"/>
  <c r="D673" i="5"/>
  <c r="D674" i="5"/>
  <c r="D675" i="5"/>
  <c r="D676" i="5"/>
  <c r="D677" i="5"/>
  <c r="D679" i="5"/>
  <c r="D682" i="5"/>
  <c r="D683" i="5"/>
  <c r="D685" i="5"/>
  <c r="D686" i="5"/>
  <c r="D687" i="5"/>
  <c r="D689" i="5"/>
  <c r="D690" i="5"/>
  <c r="D691" i="5"/>
  <c r="D692" i="5"/>
  <c r="D693" i="5"/>
  <c r="D411" i="6"/>
  <c r="D321" i="6"/>
  <c r="D288" i="6"/>
  <c r="D171" i="6"/>
  <c r="D62" i="6"/>
  <c r="D23" i="6"/>
  <c r="D29" i="6"/>
  <c r="D49" i="6"/>
  <c r="D59" i="6"/>
  <c r="D88" i="6"/>
  <c r="D147" i="6"/>
  <c r="D272" i="6"/>
  <c r="D315" i="6"/>
  <c r="D361" i="6"/>
  <c r="D19" i="6"/>
  <c r="D20" i="6"/>
  <c r="D21" i="6"/>
  <c r="D22" i="6"/>
  <c r="D24" i="6"/>
  <c r="D27" i="6"/>
  <c r="D28" i="6"/>
  <c r="D6" i="6"/>
  <c r="D7" i="6"/>
  <c r="D8" i="6"/>
  <c r="D10" i="6"/>
  <c r="D11" i="6"/>
  <c r="D12" i="6"/>
  <c r="D13" i="6"/>
  <c r="D14" i="6"/>
  <c r="D15" i="6"/>
  <c r="D16" i="6"/>
  <c r="D17" i="6"/>
  <c r="D31" i="6"/>
  <c r="D32" i="6"/>
  <c r="D45" i="6"/>
  <c r="D51" i="6"/>
  <c r="D58" i="6"/>
  <c r="D60" i="6"/>
  <c r="D61" i="6"/>
  <c r="D63" i="6"/>
  <c r="D64" i="6"/>
  <c r="D65" i="6"/>
  <c r="D67" i="6"/>
  <c r="D68" i="6"/>
  <c r="D71" i="6"/>
  <c r="D75" i="6"/>
  <c r="D77" i="6"/>
  <c r="D78" i="6"/>
  <c r="D79" i="6"/>
  <c r="D80" i="6"/>
  <c r="D81" i="6"/>
  <c r="D82" i="6"/>
  <c r="D83" i="6"/>
  <c r="D8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9" i="6"/>
  <c r="D111" i="6"/>
  <c r="D110" i="6"/>
  <c r="D112" i="6"/>
  <c r="D114" i="6"/>
  <c r="D115" i="6"/>
  <c r="D116" i="6"/>
  <c r="D125" i="6"/>
  <c r="D131" i="6"/>
  <c r="D132" i="6"/>
  <c r="D138" i="6"/>
  <c r="D139" i="6"/>
  <c r="D140" i="6"/>
  <c r="D148" i="6"/>
  <c r="D149" i="6"/>
  <c r="D150" i="6"/>
  <c r="D151" i="6"/>
  <c r="D156" i="6"/>
  <c r="D157" i="6"/>
  <c r="D158" i="6"/>
  <c r="D159" i="6"/>
  <c r="D160" i="6"/>
  <c r="D161" i="6"/>
  <c r="D162" i="6"/>
  <c r="D163" i="6"/>
  <c r="D164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2" i="6"/>
  <c r="D191" i="6"/>
  <c r="D193" i="6"/>
  <c r="D206" i="6"/>
  <c r="D207" i="6"/>
  <c r="D208" i="6"/>
  <c r="D209" i="6"/>
  <c r="D210" i="6"/>
  <c r="D211" i="6"/>
  <c r="D212" i="6"/>
  <c r="D213" i="6"/>
  <c r="D214" i="6"/>
  <c r="D215" i="6"/>
  <c r="D216" i="6"/>
  <c r="D233" i="6"/>
  <c r="D234" i="6"/>
  <c r="D267" i="6"/>
  <c r="D268" i="6"/>
  <c r="D269" i="6"/>
  <c r="D270" i="6"/>
  <c r="D271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9" i="6"/>
  <c r="D290" i="6"/>
  <c r="D291" i="6"/>
  <c r="D292" i="6"/>
  <c r="D293" i="6"/>
  <c r="D294" i="6"/>
  <c r="D295" i="6"/>
  <c r="D299" i="6"/>
  <c r="D298" i="6"/>
  <c r="D303" i="6"/>
  <c r="D304" i="6"/>
  <c r="D305" i="6"/>
  <c r="D306" i="6"/>
  <c r="D309" i="6"/>
  <c r="D308" i="6"/>
  <c r="D310" i="6"/>
  <c r="D311" i="6"/>
  <c r="D312" i="6"/>
  <c r="D313" i="6"/>
  <c r="D314" i="6"/>
  <c r="D316" i="6"/>
  <c r="D323" i="6"/>
  <c r="D324" i="6"/>
  <c r="D327" i="6"/>
  <c r="D328" i="6"/>
  <c r="D329" i="6"/>
  <c r="D331" i="6"/>
  <c r="D336" i="6"/>
  <c r="D337" i="6"/>
  <c r="D338" i="6"/>
  <c r="D339" i="6"/>
  <c r="D340" i="6"/>
  <c r="D344" i="6"/>
  <c r="D345" i="6"/>
  <c r="D346" i="6"/>
  <c r="D348" i="6"/>
  <c r="D349" i="6"/>
  <c r="D350" i="6"/>
  <c r="D351" i="6"/>
  <c r="D352" i="6"/>
  <c r="D355" i="6"/>
  <c r="D356" i="6"/>
  <c r="D357" i="6"/>
  <c r="D358" i="6"/>
  <c r="D359" i="6"/>
  <c r="D360" i="6"/>
  <c r="D362" i="6"/>
  <c r="D363" i="6"/>
  <c r="D364" i="6"/>
  <c r="D365" i="6"/>
  <c r="D366" i="6"/>
  <c r="D367" i="6"/>
  <c r="D368" i="6"/>
  <c r="D369" i="6"/>
  <c r="D370" i="6"/>
  <c r="D371" i="6"/>
  <c r="D372" i="6"/>
  <c r="D374" i="6"/>
  <c r="D375" i="6"/>
  <c r="D376" i="6"/>
  <c r="D377" i="6"/>
  <c r="D378" i="6"/>
  <c r="D379" i="6"/>
  <c r="D380" i="6"/>
  <c r="D381" i="6"/>
  <c r="D382" i="6"/>
  <c r="D383" i="6"/>
  <c r="D384" i="6"/>
  <c r="D387" i="6"/>
  <c r="D392" i="6"/>
  <c r="D393" i="6"/>
  <c r="D394" i="6"/>
  <c r="D395" i="6"/>
  <c r="D396" i="6"/>
  <c r="D397" i="6"/>
  <c r="D398" i="6"/>
  <c r="D400" i="6"/>
  <c r="D401" i="6"/>
  <c r="D402" i="6"/>
  <c r="D403" i="6"/>
  <c r="D406" i="6"/>
  <c r="D408" i="6"/>
  <c r="D407" i="6"/>
  <c r="D409" i="6"/>
  <c r="D410" i="6"/>
  <c r="D412" i="6"/>
  <c r="D413" i="6"/>
  <c r="D421" i="6"/>
  <c r="D419" i="6"/>
  <c r="D420" i="6"/>
  <c r="D422" i="6"/>
  <c r="D423" i="6"/>
  <c r="D424" i="6"/>
  <c r="D425" i="6"/>
  <c r="D431" i="6"/>
  <c r="D432" i="6"/>
  <c r="D433" i="6"/>
  <c r="D434" i="6"/>
  <c r="D435" i="6"/>
  <c r="D437" i="6"/>
  <c r="D438" i="6"/>
  <c r="D439" i="6"/>
  <c r="D440" i="6"/>
  <c r="D441" i="6"/>
  <c r="D442" i="6"/>
  <c r="D443" i="6"/>
  <c r="D444" i="6"/>
  <c r="D445" i="6"/>
  <c r="D449" i="6"/>
  <c r="D450" i="6"/>
  <c r="D452" i="6"/>
  <c r="D453" i="6"/>
  <c r="D454" i="6"/>
  <c r="D455" i="6"/>
  <c r="D456" i="6"/>
  <c r="D457" i="6"/>
  <c r="D458" i="6"/>
  <c r="D460" i="6"/>
  <c r="D463" i="6"/>
  <c r="D464" i="6"/>
  <c r="D465" i="6"/>
  <c r="D466" i="6"/>
  <c r="D461" i="6"/>
  <c r="D462" i="6"/>
  <c r="D459" i="6"/>
  <c r="D451" i="6"/>
  <c r="D448" i="6"/>
  <c r="D447" i="6"/>
  <c r="D446" i="6"/>
  <c r="D436" i="6"/>
  <c r="D430" i="6"/>
  <c r="D429" i="6"/>
  <c r="D428" i="6"/>
  <c r="D427" i="6"/>
  <c r="D426" i="6"/>
  <c r="D418" i="6"/>
  <c r="D417" i="6"/>
  <c r="D416" i="6"/>
  <c r="D415" i="6"/>
  <c r="D414" i="6"/>
  <c r="D405" i="6"/>
  <c r="D404" i="6"/>
  <c r="D399" i="6"/>
  <c r="D391" i="6"/>
  <c r="D390" i="6"/>
  <c r="D389" i="6"/>
  <c r="D388" i="6"/>
  <c r="D386" i="6"/>
  <c r="D385" i="6"/>
  <c r="D373" i="6"/>
  <c r="D354" i="6"/>
  <c r="D353" i="6"/>
  <c r="D343" i="6"/>
  <c r="D342" i="6"/>
  <c r="D341" i="6"/>
  <c r="D335" i="6"/>
  <c r="D334" i="6"/>
  <c r="D333" i="6"/>
  <c r="D332" i="6"/>
  <c r="D330" i="6"/>
  <c r="D326" i="6"/>
  <c r="D325" i="6"/>
  <c r="D320" i="6"/>
  <c r="D319" i="6"/>
  <c r="D318" i="6"/>
  <c r="D317" i="6"/>
  <c r="D307" i="6"/>
  <c r="D302" i="6"/>
  <c r="D301" i="6"/>
  <c r="D300" i="6"/>
  <c r="D297" i="6"/>
  <c r="D296" i="6"/>
  <c r="D266" i="6"/>
  <c r="D265" i="6"/>
  <c r="D232" i="6"/>
  <c r="D231" i="6"/>
  <c r="D228" i="6"/>
  <c r="D227" i="6"/>
  <c r="D224" i="6"/>
  <c r="D230" i="6"/>
  <c r="D229" i="6"/>
  <c r="D226" i="6"/>
  <c r="D225" i="6"/>
  <c r="D223" i="6"/>
  <c r="D222" i="6"/>
  <c r="D221" i="6"/>
  <c r="D220" i="6"/>
  <c r="D219" i="6"/>
  <c r="D218" i="6"/>
  <c r="D217" i="6"/>
  <c r="D205" i="6"/>
  <c r="D204" i="6"/>
  <c r="D203" i="6"/>
  <c r="D202" i="6"/>
  <c r="D200" i="6"/>
  <c r="D198" i="6"/>
  <c r="D197" i="6"/>
  <c r="D196" i="6"/>
  <c r="D195" i="6"/>
  <c r="D199" i="6"/>
  <c r="D194" i="6"/>
  <c r="D175" i="6"/>
  <c r="D174" i="6"/>
  <c r="D173" i="6"/>
  <c r="D170" i="6"/>
  <c r="D169" i="6"/>
  <c r="D168" i="6"/>
  <c r="D167" i="6"/>
  <c r="D166" i="6"/>
  <c r="D165" i="6"/>
  <c r="D155" i="6"/>
  <c r="D154" i="6"/>
  <c r="D153" i="6"/>
  <c r="D152" i="6"/>
  <c r="D146" i="6"/>
  <c r="D145" i="6"/>
  <c r="D144" i="6"/>
  <c r="D143" i="6"/>
  <c r="D142" i="6"/>
  <c r="D141" i="6"/>
  <c r="D137" i="6"/>
  <c r="D136" i="6"/>
  <c r="D135" i="6"/>
  <c r="D134" i="6"/>
  <c r="D133" i="6"/>
  <c r="D130" i="6"/>
  <c r="D129" i="6"/>
  <c r="D128" i="6"/>
  <c r="D127" i="6"/>
  <c r="D126" i="6"/>
  <c r="D124" i="6"/>
  <c r="D122" i="6"/>
  <c r="D121" i="6"/>
  <c r="D120" i="6"/>
  <c r="D119" i="6"/>
  <c r="D118" i="6"/>
  <c r="D117" i="6"/>
  <c r="D108" i="6"/>
  <c r="D94" i="6"/>
  <c r="D93" i="6"/>
  <c r="D92" i="6"/>
  <c r="D91" i="6"/>
  <c r="D90" i="6"/>
  <c r="D89" i="6"/>
  <c r="D87" i="6"/>
  <c r="D86" i="6"/>
  <c r="D85" i="6"/>
  <c r="D74" i="6"/>
  <c r="D73" i="6"/>
  <c r="D72" i="6"/>
  <c r="D70" i="6"/>
  <c r="D69" i="6"/>
  <c r="D66" i="6"/>
  <c r="D57" i="6"/>
  <c r="D56" i="6"/>
  <c r="D55" i="6"/>
  <c r="D54" i="6"/>
  <c r="D53" i="6"/>
  <c r="D52" i="6"/>
  <c r="D50" i="6"/>
  <c r="D48" i="6"/>
  <c r="D47" i="6"/>
  <c r="D46" i="6"/>
  <c r="D44" i="6"/>
  <c r="D43" i="6"/>
  <c r="D42" i="6"/>
  <c r="D41" i="6"/>
  <c r="D40" i="6"/>
  <c r="D39" i="6"/>
  <c r="D38" i="6"/>
  <c r="D37" i="6"/>
  <c r="D36" i="6"/>
  <c r="D35" i="6"/>
  <c r="D34" i="6"/>
  <c r="D30" i="6"/>
</calcChain>
</file>

<file path=xl/sharedStrings.xml><?xml version="1.0" encoding="utf-8"?>
<sst xmlns="http://schemas.openxmlformats.org/spreadsheetml/2006/main" count="3434" uniqueCount="547">
  <si>
    <t>Código</t>
  </si>
  <si>
    <t>Sección</t>
  </si>
  <si>
    <t>Columna 1</t>
  </si>
  <si>
    <t>Docentes</t>
  </si>
  <si>
    <t>Asignatura</t>
  </si>
  <si>
    <t xml:space="preserve">EVALUACIONES </t>
  </si>
  <si>
    <t>A1ADEE9</t>
  </si>
  <si>
    <t>A</t>
  </si>
  <si>
    <t xml:space="preserve">SUSSY DE LOS RIOS BOTTERI / </t>
  </si>
  <si>
    <t>EMPLOYEE EXPERIENCE</t>
  </si>
  <si>
    <t>Práctica 1</t>
  </si>
  <si>
    <t>A1AG1</t>
  </si>
  <si>
    <t xml:space="preserve">ELSA MERCEDES ALAMA SALAZAR / </t>
  </si>
  <si>
    <t>FUNDAMENTOS DE ADMINISTRACIÓN 1</t>
  </si>
  <si>
    <t>Práctica 2</t>
  </si>
  <si>
    <t>B</t>
  </si>
  <si>
    <t xml:space="preserve">BEATRIZ ELVIRA VEGAS CHIYÓN / </t>
  </si>
  <si>
    <t>Práctica 3</t>
  </si>
  <si>
    <t>C</t>
  </si>
  <si>
    <t>Práctica 4</t>
  </si>
  <si>
    <t>D</t>
  </si>
  <si>
    <t>Práctica 5</t>
  </si>
  <si>
    <t>A1AG2</t>
  </si>
  <si>
    <t xml:space="preserve">CLAUDIA MARIA CHENG BARRANTES / </t>
  </si>
  <si>
    <t>FUNDAMENTOS DE ADMINISTRACIÓN 2</t>
  </si>
  <si>
    <t>Parcial</t>
  </si>
  <si>
    <t xml:space="preserve">Final </t>
  </si>
  <si>
    <t>A1AG3</t>
  </si>
  <si>
    <t xml:space="preserve">FABIOLA ALCAS ROJAS / </t>
  </si>
  <si>
    <t>EMPRENDIMIENTO Y ESTRATEGIA</t>
  </si>
  <si>
    <t>Control 01</t>
  </si>
  <si>
    <t xml:space="preserve">Informe </t>
  </si>
  <si>
    <t>A1AG4</t>
  </si>
  <si>
    <t xml:space="preserve">JUANA MARÍA HUACO GARCÍA / </t>
  </si>
  <si>
    <t>DISEÑO ORGANIZACIONAL</t>
  </si>
  <si>
    <t>Control 02</t>
  </si>
  <si>
    <t>A1AG5</t>
  </si>
  <si>
    <t>PSICOLOGÍA EN LAS ORGANIZACIONES</t>
  </si>
  <si>
    <t>Control 03</t>
  </si>
  <si>
    <t>Control 04</t>
  </si>
  <si>
    <t>A1AG6</t>
  </si>
  <si>
    <t>ALMA ROSA MACHUCA MAZA /</t>
  </si>
  <si>
    <t>DIRECCIÓN DE PERSONAL</t>
  </si>
  <si>
    <t>Control 05</t>
  </si>
  <si>
    <t xml:space="preserve">TEO ERNESTO MARTIN HIDALGO CORTES / </t>
  </si>
  <si>
    <t>Control 06</t>
  </si>
  <si>
    <t>A1AGGE9</t>
  </si>
  <si>
    <t>GESTIÓN DE LA EMPLEABILIDAD</t>
  </si>
  <si>
    <t>Trabajo 01</t>
  </si>
  <si>
    <t>A1AGGI9</t>
  </si>
  <si>
    <t xml:space="preserve">EDILBERTO LUIS PEDRO SALAZAR OSORES / </t>
  </si>
  <si>
    <t>GESTIÓN DE LA INNOVACIÓN</t>
  </si>
  <si>
    <t xml:space="preserve">Trabajo grupal </t>
  </si>
  <si>
    <t>A1AGIE9</t>
  </si>
  <si>
    <t>CARLOS RODRICH /</t>
  </si>
  <si>
    <t>INNOVACIÓN EMPRESARIAL</t>
  </si>
  <si>
    <t>Participación</t>
  </si>
  <si>
    <t>A1BSA</t>
  </si>
  <si>
    <t xml:space="preserve">RICARDO ALBERTO ORMEÑO SÁNCHEZ / </t>
  </si>
  <si>
    <t>BUSINESS ANALYTICS</t>
  </si>
  <si>
    <t xml:space="preserve">Laboratorio </t>
  </si>
  <si>
    <t xml:space="preserve">LUIS EGBERTO ALVARADO PINTADO / </t>
  </si>
  <si>
    <t>Sustitutorio</t>
  </si>
  <si>
    <t>A1CC1</t>
  </si>
  <si>
    <t xml:space="preserve">JORGE ARMANDO SANCHEZ FARFAN / </t>
  </si>
  <si>
    <t>CONTABILIDAD DE COSTOS</t>
  </si>
  <si>
    <t>REPROG P2</t>
  </si>
  <si>
    <t xml:space="preserve">YULLIANA MARISED LLAUCE ONTANEDA / </t>
  </si>
  <si>
    <t>REPROG P3</t>
  </si>
  <si>
    <t>A1CC2</t>
  </si>
  <si>
    <t xml:space="preserve">SHIRLEY VANESSA TESEN SANDOVAL / </t>
  </si>
  <si>
    <t>COSTOS Y PRESUPUESTOS</t>
  </si>
  <si>
    <t>REPROG P4</t>
  </si>
  <si>
    <t>REPROG LAB</t>
  </si>
  <si>
    <t>A1CF1</t>
  </si>
  <si>
    <t>MARIA ELENA ARCE ALMENARA /</t>
  </si>
  <si>
    <t>FUNDAMENTOS DE CONTABILIDAD</t>
  </si>
  <si>
    <t>REPROG EP</t>
  </si>
  <si>
    <t xml:space="preserve">MARIA JESÚS FARFÁN MANRIQUE / </t>
  </si>
  <si>
    <t>REPROG EF</t>
  </si>
  <si>
    <t>A1CF2</t>
  </si>
  <si>
    <t xml:space="preserve">MARLON RAUL ALVIA SIANCAS / </t>
  </si>
  <si>
    <t>CONTABILIDAD FINANCIERA</t>
  </si>
  <si>
    <t>REPROG ES</t>
  </si>
  <si>
    <t>A1CF39</t>
  </si>
  <si>
    <t>IVETTE NÚÑEZ LAGUNA /</t>
  </si>
  <si>
    <t>CONTABILIDAD FINANCIERA AVANZADA</t>
  </si>
  <si>
    <t>A1CF49</t>
  </si>
  <si>
    <t xml:space="preserve">MARÍA CECILIA VENEGAS MORALES / </t>
  </si>
  <si>
    <t>CONSOLIDACIÓN DE ESTADOS FINANCIEROS</t>
  </si>
  <si>
    <t>A1CIR9</t>
  </si>
  <si>
    <t xml:space="preserve">ROMAN CESAR DIEZ PAREJA / </t>
  </si>
  <si>
    <t>CONTROL INTERNO Y GESTIÓN DE RIESGOS</t>
  </si>
  <si>
    <t>A1CST9</t>
  </si>
  <si>
    <t>FINANZAS CORPORATIVAS</t>
  </si>
  <si>
    <t>A1DCC</t>
  </si>
  <si>
    <t xml:space="preserve">FRANCISCO EDUARDO VITE TALLEDO / </t>
  </si>
  <si>
    <t>DERECHO CIVIL Y COMERCIAL</t>
  </si>
  <si>
    <t>Trabajo 02</t>
  </si>
  <si>
    <t>A1DLT</t>
  </si>
  <si>
    <t xml:space="preserve">ROSSANA DEL PILAR VERA JIMENEZ / </t>
  </si>
  <si>
    <t>DERECHO LABORAL Y TRIBUTARIO</t>
  </si>
  <si>
    <t>Evaluación corta 1</t>
  </si>
  <si>
    <t>A1DPEA9</t>
  </si>
  <si>
    <t xml:space="preserve">LOURDES RENATA CORONADO GOMEZ / </t>
  </si>
  <si>
    <t>EDUCACIÓN PARA EL AMOR</t>
  </si>
  <si>
    <t>DILEMAS</t>
  </si>
  <si>
    <t>A1DPRT9</t>
  </si>
  <si>
    <t>MANUEL PRENDES GUARDIOLA /</t>
  </si>
  <si>
    <t>AUDITORÍA FINANCIERA 1</t>
  </si>
  <si>
    <t>Evaluación corta 2</t>
  </si>
  <si>
    <t>A1EC1</t>
  </si>
  <si>
    <t>INGRID CECILIA CASANA ORTEGA /</t>
  </si>
  <si>
    <t>PERSONA Y SOCIEDAD</t>
  </si>
  <si>
    <t>Taller 01</t>
  </si>
  <si>
    <t>Taller 02</t>
  </si>
  <si>
    <t>A1EC2</t>
  </si>
  <si>
    <t xml:space="preserve">FRANCISCO LEVI TRUJILLO VARGAS / </t>
  </si>
  <si>
    <t>MACROECONOMÍA</t>
  </si>
  <si>
    <t>Taller 03</t>
  </si>
  <si>
    <t>A1ES1</t>
  </si>
  <si>
    <t>RICARDO ALBERTO ORMEÑO SÁNCHEZ /</t>
  </si>
  <si>
    <t>ESTADÍSTICA 1</t>
  </si>
  <si>
    <t>Taller 04</t>
  </si>
  <si>
    <t xml:space="preserve">DIANA LORENA SALAZAR TORRES / </t>
  </si>
  <si>
    <t>CONTROLES</t>
  </si>
  <si>
    <t>A1ES2</t>
  </si>
  <si>
    <t>ESTADÍSTICA 2</t>
  </si>
  <si>
    <t>Trabajo grupal 1</t>
  </si>
  <si>
    <t>A1ETN</t>
  </si>
  <si>
    <t>MANUEL LÓPEZ ORTIZ /</t>
  </si>
  <si>
    <t>ÉTICA DE NEGOCIOS</t>
  </si>
  <si>
    <t>A1FP1</t>
  </si>
  <si>
    <t xml:space="preserve">WILLIAN ALFREDO REYES CORTES / </t>
  </si>
  <si>
    <t>FUNDAMENTOS DE PROGRAMACIÓN</t>
  </si>
  <si>
    <t>A1FZ1</t>
  </si>
  <si>
    <t xml:space="preserve">JUAN RICARDO MATÍAS PALMA / </t>
  </si>
  <si>
    <t>METODOLOGÍA DE ESTUDIO</t>
  </si>
  <si>
    <t>A1FZ2</t>
  </si>
  <si>
    <t>RAFAEL ANTONIO VALERA MORENO /</t>
  </si>
  <si>
    <t>FINANZAS OPERATIVAS</t>
  </si>
  <si>
    <t>A1FZ3</t>
  </si>
  <si>
    <t xml:space="preserve">JORGE EDUARDO GALLO COSTA / </t>
  </si>
  <si>
    <t>EVALUACIÓN DE INVERSIONES</t>
  </si>
  <si>
    <t>A1FZ4</t>
  </si>
  <si>
    <t xml:space="preserve">BRENDA SILUPÚ GARCÉS / SERGIO DAVID REYES LANDA / </t>
  </si>
  <si>
    <t>ALVARO TRESIERRA / SERGIO REYES</t>
  </si>
  <si>
    <t>A1FZBS9</t>
  </si>
  <si>
    <t xml:space="preserve">ALIDA SOLEDAD RUBIÑOS LÚCAR / </t>
  </si>
  <si>
    <t>FINANZAS DE BANCA Y SEGUROS</t>
  </si>
  <si>
    <t>A1FZFE9</t>
  </si>
  <si>
    <t xml:space="preserve">ENRIQUE GERARDO OLAECHEA ALMANDOZ / </t>
  </si>
  <si>
    <t>FINANZAS ESTRATÉGICAS</t>
  </si>
  <si>
    <t>A1FZVE9</t>
  </si>
  <si>
    <t>JAVIER ERNESTO GALLO OLMOS /</t>
  </si>
  <si>
    <t>ÁLGEBRA LINEAL</t>
  </si>
  <si>
    <t>A1GP1</t>
  </si>
  <si>
    <t xml:space="preserve">MARTHA MARINA CASAS CASAS / </t>
  </si>
  <si>
    <t>COMPORTAMIENTO HUMANO EN LAS ORGANIZACIONES</t>
  </si>
  <si>
    <t>A1GP2</t>
  </si>
  <si>
    <t xml:space="preserve">JACQUELINE MARIELA GARCÍA ROJAS / </t>
  </si>
  <si>
    <t>GOBIERNO DE LA ORGANIZACION Y LIDERAZGO</t>
  </si>
  <si>
    <t>A1IPN</t>
  </si>
  <si>
    <t xml:space="preserve">ENRIQUE MANUEL LACHERRE CALDERON / </t>
  </si>
  <si>
    <t>INFORMÁTICA PARA NEGOCIOS</t>
  </si>
  <si>
    <t>SISTEMA CONTABLE</t>
  </si>
  <si>
    <t>VALORACIÓN DE EMPRESAS</t>
  </si>
  <si>
    <t>A1LOG</t>
  </si>
  <si>
    <t xml:space="preserve">NESTOR JAVIER FARIAS MORCILLO / </t>
  </si>
  <si>
    <t>LÓGICA</t>
  </si>
  <si>
    <t>ELLIS RODNEY HIDALGO MENDOZA /</t>
  </si>
  <si>
    <t>A1MET</t>
  </si>
  <si>
    <t xml:space="preserve">LUIS ENRIQUE GUZMAN TRELLES / </t>
  </si>
  <si>
    <t>MICROECONOMÍA</t>
  </si>
  <si>
    <t>A1MK1</t>
  </si>
  <si>
    <t xml:space="preserve">GONZALO GUILLERMO AUGUSTO VOYSEST / </t>
  </si>
  <si>
    <t>FUNDAMENTOS DE MARKETING</t>
  </si>
  <si>
    <t>A1MK2</t>
  </si>
  <si>
    <t xml:space="preserve">VICTOR ALEJANDRO DE LA TORRE PALACIOS / </t>
  </si>
  <si>
    <t>ESTRATEGIAS DE MERCADO</t>
  </si>
  <si>
    <t>A1MK3</t>
  </si>
  <si>
    <t xml:space="preserve">ANA LUCÍA MARTÍNEZ AZCÁRATE / </t>
  </si>
  <si>
    <t>INVESTIGACIÓN DE MERCADOS</t>
  </si>
  <si>
    <t>A1MK4</t>
  </si>
  <si>
    <t>FERNANDO BARRANZUELA LESCANO /</t>
  </si>
  <si>
    <t>A1MKGM9</t>
  </si>
  <si>
    <t xml:space="preserve">JAVIER ARTURO BERECHE ALVAREZ / </t>
  </si>
  <si>
    <t>GESTIÓN DE MARCAS</t>
  </si>
  <si>
    <t>A1MKGV9</t>
  </si>
  <si>
    <t xml:space="preserve">RICARDO CARLOS CARRILLO GUERRERO / </t>
  </si>
  <si>
    <t>GERENCIA DE VENTAS</t>
  </si>
  <si>
    <t>A1MKLP9</t>
  </si>
  <si>
    <t>LANZAMIENTO DE NUEVOS PRODUCTOS</t>
  </si>
  <si>
    <t>A1MKMD9</t>
  </si>
  <si>
    <t>JUAN CARLOS VILLACORTA /</t>
  </si>
  <si>
    <t xml:space="preserve">MARKETING </t>
  </si>
  <si>
    <t>A1MKRM9</t>
  </si>
  <si>
    <t xml:space="preserve">CLAUDIA MARÍA RIVERA TÁVARA / </t>
  </si>
  <si>
    <t>AUDITORÍA FINANCIERA 2</t>
  </si>
  <si>
    <t>A1MKSM9</t>
  </si>
  <si>
    <t>SHONA UREÑA /</t>
  </si>
  <si>
    <t>SOCIAL MEDIA MARKETING</t>
  </si>
  <si>
    <t>A1MT1</t>
  </si>
  <si>
    <t>DIANA LORENA SALAZAR TORRES /</t>
  </si>
  <si>
    <t>MATEMÁTICA 1</t>
  </si>
  <si>
    <t>MATEMÁTICA 2</t>
  </si>
  <si>
    <t>MATEMÁTICA 3</t>
  </si>
  <si>
    <t>A1MT2</t>
  </si>
  <si>
    <t>JORGE LUIS MARTINEZ PEREZ</t>
  </si>
  <si>
    <t>MATEMÁTICA FINANCIERA</t>
  </si>
  <si>
    <t>A1MT3</t>
  </si>
  <si>
    <t xml:space="preserve">JAIME GERARDO VILLASANTE ABRAMONTE / </t>
  </si>
  <si>
    <t>A1OP1</t>
  </si>
  <si>
    <t xml:space="preserve">EDUARDO ALONSO SANCHEZ RUIZ / </t>
  </si>
  <si>
    <t>ADMINISTRACIÓN DE OPERACIONES</t>
  </si>
  <si>
    <t>A1OP2</t>
  </si>
  <si>
    <t>GESTIÓN DE LA CADENA DE SUMINISTRO</t>
  </si>
  <si>
    <t>A1PI1</t>
  </si>
  <si>
    <t xml:space="preserve">ELBA LOURDES ACUÑA SILLO / </t>
  </si>
  <si>
    <t>CURSO DE TRABAJO DE INVESTIGACIÓN 1</t>
  </si>
  <si>
    <t>A1PI2</t>
  </si>
  <si>
    <t xml:space="preserve">JOSÉ LUIS CORTES QUIROZ / </t>
  </si>
  <si>
    <t>CURSO DE TRABAJO DE INVESTIGACIÓN 2</t>
  </si>
  <si>
    <t>A1PRM</t>
  </si>
  <si>
    <t>FRANCISCO JAVIER CHAPILLIQUEN ZAPATA /</t>
  </si>
  <si>
    <t>REALIDAD Y CONOCIMIENTO</t>
  </si>
  <si>
    <t>A1ST1</t>
  </si>
  <si>
    <t xml:space="preserve">PATRICIA ELBA SOTO QUIROGA / </t>
  </si>
  <si>
    <t>ESTRATEGIA Y VENTAJA COMPETITIVA</t>
  </si>
  <si>
    <t>A1ST2</t>
  </si>
  <si>
    <t xml:space="preserve">JOSÉ ANTONIO ARÁMBULO VEGA / </t>
  </si>
  <si>
    <t>DIRECCIÓN ESTRATÉGICA</t>
  </si>
  <si>
    <t>AF1</t>
  </si>
  <si>
    <t>AF2</t>
  </si>
  <si>
    <t>CCDA03005</t>
  </si>
  <si>
    <t xml:space="preserve">PAUL JOSEMARÍA CORCUERA GARCÍA / </t>
  </si>
  <si>
    <t>CCDA03008</t>
  </si>
  <si>
    <t>GERMÁN ANTONIO VEGA ACUÑA /</t>
  </si>
  <si>
    <t>MICROFINANZAS</t>
  </si>
  <si>
    <t>CCDA03009</t>
  </si>
  <si>
    <t xml:space="preserve">RANDY JOEL FERNÁNDEZ PALOMINO / </t>
  </si>
  <si>
    <t>FUNDAMENTOS DE FINANZAS CORPORATIVAS</t>
  </si>
  <si>
    <t>CF3</t>
  </si>
  <si>
    <t>CONTROL ESTRATÉGICO</t>
  </si>
  <si>
    <t>CF4</t>
  </si>
  <si>
    <t>CF5</t>
  </si>
  <si>
    <t>MARÍA JESUS FARFÁN / IVETTE NUÑEZ LAGUNA</t>
  </si>
  <si>
    <t>CIR</t>
  </si>
  <si>
    <t>CONT03010</t>
  </si>
  <si>
    <t xml:space="preserve">REMY MICHAEL BALAREZO NÚÑEZ / </t>
  </si>
  <si>
    <t>DEONTOLOGÍA PARA ECONOMISTAS</t>
  </si>
  <si>
    <t>CST</t>
  </si>
  <si>
    <t>CURSO DE TRABAJO DE INVESTIGACIÓN</t>
  </si>
  <si>
    <t>DLA</t>
  </si>
  <si>
    <t xml:space="preserve">DERECHO LABORAL </t>
  </si>
  <si>
    <t>DSO</t>
  </si>
  <si>
    <t>RENATO CÁRCAMO SEMINARIO /</t>
  </si>
  <si>
    <t>DOCTRINA SOCIAL DE LA IGLESIA</t>
  </si>
  <si>
    <t>JOSÉ LUIS CHINGUEL BELTRAN /</t>
  </si>
  <si>
    <t>DT1</t>
  </si>
  <si>
    <t>ROSSANA DEL PILAR VERA JIMENEZ /</t>
  </si>
  <si>
    <t>DT2</t>
  </si>
  <si>
    <t xml:space="preserve">DELIA ESPERANZA DE LA CRUZ HARO / </t>
  </si>
  <si>
    <t>DT3</t>
  </si>
  <si>
    <t>E2ACE1</t>
  </si>
  <si>
    <t xml:space="preserve">CRISTIAN ADDERLY MARAVI MENESES / </t>
  </si>
  <si>
    <t>CRECIMIENTO Y FLUCTUACIONES</t>
  </si>
  <si>
    <t>E2CAL1</t>
  </si>
  <si>
    <t xml:space="preserve">ALFONSO GUILLERMO DULANTO RISHING / </t>
  </si>
  <si>
    <t>HISTORIA DEL PENSAMIENTO ECONÓMICO</t>
  </si>
  <si>
    <t xml:space="preserve">MARTIN ANTHONY VARGAS ALVINES / </t>
  </si>
  <si>
    <t>INFORMÁTICA PARA ECONOMISTAS</t>
  </si>
  <si>
    <t>E2DEO1</t>
  </si>
  <si>
    <t xml:space="preserve">SANDRO OMAR NAVARRO CASTAÑEDA / </t>
  </si>
  <si>
    <t>EQUILIBRIO Y PODER DE MERCADO</t>
  </si>
  <si>
    <t xml:space="preserve">GERSON GUILLERMO NAVARRO GARRIDO / </t>
  </si>
  <si>
    <t>ESTADÍSTICA PARA ECONOMISTAS 1</t>
  </si>
  <si>
    <t>ESTA03004</t>
  </si>
  <si>
    <t>ESTADÍSTICAS PARA ECONOMÍSTAS 1</t>
  </si>
  <si>
    <t>E2GPO1</t>
  </si>
  <si>
    <t xml:space="preserve">MUCHIN ISABEL AYEN BAZAN RUIZ / </t>
  </si>
  <si>
    <t>E2HPE1</t>
  </si>
  <si>
    <t xml:space="preserve">LUIS JOSE ZAPATA BOBADILLA / </t>
  </si>
  <si>
    <t>INTRODUCCIÓN A CIENCIA DE DATOS Y MACHINE LEARNING CON PYTHON</t>
  </si>
  <si>
    <t>E2ICD9</t>
  </si>
  <si>
    <t>MACROECONOMETRÍA</t>
  </si>
  <si>
    <t>E2INF1</t>
  </si>
  <si>
    <t>JUEGOS Y CONTRATOS</t>
  </si>
  <si>
    <t xml:space="preserve">ELLIS RODNEY HIDALGO MENDOZA / </t>
  </si>
  <si>
    <t>E2MIE1</t>
  </si>
  <si>
    <t xml:space="preserve">NESTOR JAVIER FARÍAS MORCILLO / WILLIAM REYES </t>
  </si>
  <si>
    <t>OPTIMIZACIÓN ECONÓMICA 1</t>
  </si>
  <si>
    <t>E2MIF9</t>
  </si>
  <si>
    <t xml:space="preserve">GERMÁN ANTONIO VEGA ACUÑA / PAUL JOSEMARÍA CORCUERA GARCÍA / </t>
  </si>
  <si>
    <t>PRINCIPIOS DE MACROECONOMÍA</t>
  </si>
  <si>
    <t>E2PMA1</t>
  </si>
  <si>
    <t xml:space="preserve">OMAR SILVA BLANCO / </t>
  </si>
  <si>
    <t>RENTA VARIABLE Y MODELOS FINANCIEROS</t>
  </si>
  <si>
    <t>E2RFI1</t>
  </si>
  <si>
    <t>TEORÍA DE LA ORGANIZACIÓN INDUSTRIAL</t>
  </si>
  <si>
    <t>INVE03016</t>
  </si>
  <si>
    <t>CESAR AUGUSTO HUAROTO DE LA CRUZ /</t>
  </si>
  <si>
    <t>TÓPICOS EN DESARROLLO ECONÓMICO</t>
  </si>
  <si>
    <t>E2TIE1</t>
  </si>
  <si>
    <t>CÉSAR HUAROTO /</t>
  </si>
  <si>
    <t>ECONOMÍA DEL DESARROLLO</t>
  </si>
  <si>
    <t>ESTA03005</t>
  </si>
  <si>
    <t>FUNDAMENTOS DE ECONOMETRÍA</t>
  </si>
  <si>
    <t>ESTA03006</t>
  </si>
  <si>
    <t>FUNDAMENTOS DEL CÁLCULO</t>
  </si>
  <si>
    <t>ESTA03007</t>
  </si>
  <si>
    <t>MARCOS AGURTO ADRIANZEN /</t>
  </si>
  <si>
    <t>OPTIMIZACIÓN ECONÓMICA 2</t>
  </si>
  <si>
    <t>ESTA03008</t>
  </si>
  <si>
    <t>METODOLOGÍAS DE INVESTIGACIÓN ECONÓMICA</t>
  </si>
  <si>
    <t>ETC</t>
  </si>
  <si>
    <t xml:space="preserve">DAVID TELLEZ MAQUEO / </t>
  </si>
  <si>
    <t>ÉTICA CIUDADANA</t>
  </si>
  <si>
    <t>DAVID ESPINOZA SOMOCURCIO /</t>
  </si>
  <si>
    <t>ZHENIA DJANIRA APARICIO ALDANA /</t>
  </si>
  <si>
    <t>FINZ03030</t>
  </si>
  <si>
    <t xml:space="preserve">VANIA SALAS GARCIA / </t>
  </si>
  <si>
    <t>SEMINARIO DE INVESTIGACIÓN ECONÓMICA</t>
  </si>
  <si>
    <t>FINZ03032</t>
  </si>
  <si>
    <t>FINZ03033</t>
  </si>
  <si>
    <t>JUAN LUIS VALDIVIEZO / KEVIN TINEO /</t>
  </si>
  <si>
    <t>FUNDAMENTOS DE MACROECONOMÍA DINÁMICA</t>
  </si>
  <si>
    <t>FINZ03044</t>
  </si>
  <si>
    <t>TEORÍA DEL CONSUMIDOR Y DEL PRODUCTOR</t>
  </si>
  <si>
    <t>FP1</t>
  </si>
  <si>
    <t>GERENCIA DEL TALENTO HUMANO</t>
  </si>
  <si>
    <t>IMPOSICIÓN A LA RENTA</t>
  </si>
  <si>
    <t>IMPOSICIÓN AL CONSUMO</t>
  </si>
  <si>
    <t>GOPE03014</t>
  </si>
  <si>
    <t>MARTHA CASAS CASAS /</t>
  </si>
  <si>
    <t>GOBIERNO DE ORGANIZACIONES</t>
  </si>
  <si>
    <t>GOPE03015</t>
  </si>
  <si>
    <t>MANUEL LÓPEZ /</t>
  </si>
  <si>
    <t>ÉTICA PARA ECONOMÍSTAS</t>
  </si>
  <si>
    <t>GTH</t>
  </si>
  <si>
    <t xml:space="preserve">JUANA MARÍA HUACO GARCÍA / TEO ERNESTO MARTIN HIDALGO CORTES / </t>
  </si>
  <si>
    <t>HC1</t>
  </si>
  <si>
    <t>CRISTINA VARGAS PACHECO /</t>
  </si>
  <si>
    <t>HISTORIA Y CULTURA PRE-MODERNA</t>
  </si>
  <si>
    <t>BERTHA JULISSA GUTIÉRREZ RIVAS DE VELEZMORO /</t>
  </si>
  <si>
    <t xml:space="preserve">ADRIANA ISABEL LAOS LEVAGGI / </t>
  </si>
  <si>
    <t xml:space="preserve">JOSE LUIS BELLIDO NINA / </t>
  </si>
  <si>
    <t>E</t>
  </si>
  <si>
    <t>F</t>
  </si>
  <si>
    <t xml:space="preserve">JAVIER GOMEZ SANCHEZ / </t>
  </si>
  <si>
    <t>HC2</t>
  </si>
  <si>
    <t xml:space="preserve">RUTH MAGALI ROSAS NAVARRO / </t>
  </si>
  <si>
    <t>HISTORIA Y CULTURA MODERNA</t>
  </si>
  <si>
    <t>PAVEL ELÍAS /</t>
  </si>
  <si>
    <t>HC3</t>
  </si>
  <si>
    <t>HISTORIA Y CULTURA CONTEMPORANEA</t>
  </si>
  <si>
    <t>VICTOR VELEZMORO MONTES /</t>
  </si>
  <si>
    <t>ICO</t>
  </si>
  <si>
    <t>CURSO DE INVESTIGACIÓPN CONTABLE</t>
  </si>
  <si>
    <t>INVE03021</t>
  </si>
  <si>
    <t>TÓPICOS DE ECONOMÍA DE LAS POLÍTICAS PÚBLICAS</t>
  </si>
  <si>
    <t>INVE03022</t>
  </si>
  <si>
    <t>INTRODUCCIÓN A LA INVESTIGACIÓN ACADÉMICA</t>
  </si>
  <si>
    <t>LC1</t>
  </si>
  <si>
    <t>ROSA DE JESÚS  BOBBIO ALVAREZ /</t>
  </si>
  <si>
    <t>LENGUA Y COMUNICACIÓN 1</t>
  </si>
  <si>
    <t>KARENT URÍZAR GONZALES /</t>
  </si>
  <si>
    <t>CRISANTO PÉREZ ESAIN /</t>
  </si>
  <si>
    <t>PAOLA CELI ARELLANO /</t>
  </si>
  <si>
    <t>BERTHA ISABEL GUZMÁN VELASCO /</t>
  </si>
  <si>
    <t>LC2</t>
  </si>
  <si>
    <t xml:space="preserve">SHIRLEY YANUARIA CORTEZ GONZÁLEZ / </t>
  </si>
  <si>
    <t>LENGUA Y COMUNICACIÓN 2</t>
  </si>
  <si>
    <t>CINTHIA BRICEÑO VALIENTE /</t>
  </si>
  <si>
    <t>LEGI03009</t>
  </si>
  <si>
    <t>DERECHO PARA LA EMPRESA</t>
  </si>
  <si>
    <t>M4AT</t>
  </si>
  <si>
    <t xml:space="preserve">DAVID JESUS ESPINOZA SOMOCURCIO / </t>
  </si>
  <si>
    <t>ANTROPOLOGÍA DEL TRABAJO</t>
  </si>
  <si>
    <t>M4DS</t>
  </si>
  <si>
    <t>DIMENSIÓN SOCIAL DE LA FAMILIA</t>
  </si>
  <si>
    <t>M4FH</t>
  </si>
  <si>
    <t>LA FAMILIA EN LA HISTORIA</t>
  </si>
  <si>
    <t>MACR03002</t>
  </si>
  <si>
    <t>LUIS ALONSO CASAVERDE ANTÓN /</t>
  </si>
  <si>
    <t>MACR03003</t>
  </si>
  <si>
    <t>MACR03004</t>
  </si>
  <si>
    <t>ZENÓN FIDEL QUISPE MISAICO /</t>
  </si>
  <si>
    <t>TEORÍA Y POLÍTICA MONETARIA</t>
  </si>
  <si>
    <t>MACR03005</t>
  </si>
  <si>
    <t>CRISTIAN MARAVÍ /</t>
  </si>
  <si>
    <t>MACROECONOMÍA INTERNACIONAL</t>
  </si>
  <si>
    <t>MACR03006</t>
  </si>
  <si>
    <t xml:space="preserve">MARIO ALVARADO TABACCHI / </t>
  </si>
  <si>
    <t>CRECIMIENTO Y NEGOCIOS INTERNACIONALES</t>
  </si>
  <si>
    <t>MAF</t>
  </si>
  <si>
    <t>ALAN PATRONI MUÑOZ /</t>
  </si>
  <si>
    <t>AFECTIVIDAD Y PERSONALIDAD</t>
  </si>
  <si>
    <t>MATE03007</t>
  </si>
  <si>
    <t>CARLOS IMÁN ANCAJIMA /</t>
  </si>
  <si>
    <t>MATE03008</t>
  </si>
  <si>
    <t xml:space="preserve">JAVIER FARFÁN NAVARRO / </t>
  </si>
  <si>
    <t>FUNDAMENTOS DE CÁLCULO</t>
  </si>
  <si>
    <t>MATE03009</t>
  </si>
  <si>
    <t>NESTOR FARÍAS / WILLIAN REYES</t>
  </si>
  <si>
    <t>MATE03010</t>
  </si>
  <si>
    <t>MATE03012</t>
  </si>
  <si>
    <t>MICR03003</t>
  </si>
  <si>
    <t>SANDRO OMAR NAVARRO CASTAÑEDA /</t>
  </si>
  <si>
    <t>EQUILIBRIO Y PODER DE PERCADO</t>
  </si>
  <si>
    <t>MICR03004</t>
  </si>
  <si>
    <t>PAÚL JOSEMARÍA CORCUERA GARCÍA /</t>
  </si>
  <si>
    <t>MICR03005</t>
  </si>
  <si>
    <t>PRINCIPIOS DE MICROECONOMÍA</t>
  </si>
  <si>
    <t>MICR03006</t>
  </si>
  <si>
    <t>MICR03007</t>
  </si>
  <si>
    <t>MIT</t>
  </si>
  <si>
    <t xml:space="preserve">MERLY LILIANA FLORES ARELLANO / </t>
  </si>
  <si>
    <t>INTERCULTURALIDAD</t>
  </si>
  <si>
    <t>MKT</t>
  </si>
  <si>
    <t xml:space="preserve">NESTOR JAVIER FARÍAS MORCILLO / </t>
  </si>
  <si>
    <t>MLL</t>
  </si>
  <si>
    <t xml:space="preserve">GONZALO ALEJANDRO FLORES CASTRO LINGAN / </t>
  </si>
  <si>
    <t>LA LIBERTAD</t>
  </si>
  <si>
    <t>MT2</t>
  </si>
  <si>
    <t>PPUB03002</t>
  </si>
  <si>
    <t>ESTADÍSTICA PARA ECONOMISTAS 2</t>
  </si>
  <si>
    <t>PSO</t>
  </si>
  <si>
    <t>GENARA CASTILLO CÓRDOVA /</t>
  </si>
  <si>
    <t>HERRAMIENTA DE CIENCIA DE DATOS</t>
  </si>
  <si>
    <t>PLANEAMIENTO COMERCIAL</t>
  </si>
  <si>
    <t>PROJECT MANAGEMENT</t>
  </si>
  <si>
    <t>RCO</t>
  </si>
  <si>
    <t>FERNANDO ALFREDO RIOFRIO ZUÑIGA /</t>
  </si>
  <si>
    <t>REDACCIÓN TÉCNICA PARA NEGOCIOS</t>
  </si>
  <si>
    <t>GONZALO ALEJANDRO FLORES CASTRO LINGAN / NAVARRO UBEDA GUILLERMO</t>
  </si>
  <si>
    <t>RETAIL MARKETING</t>
  </si>
  <si>
    <t>SCO</t>
  </si>
  <si>
    <t>TE1</t>
  </si>
  <si>
    <t>SUSANA RAGGIO GRANDA /</t>
  </si>
  <si>
    <t>INTRODUCCIÓN A LA TEOLOGÍA</t>
  </si>
  <si>
    <t>TE2</t>
  </si>
  <si>
    <t xml:space="preserve">RICARDO GERMÁN GONZÁLEZ GATICA / </t>
  </si>
  <si>
    <t>TEOLOGÍA Y VIDA CRISTIANA</t>
  </si>
  <si>
    <t>MICR03002</t>
  </si>
  <si>
    <t xml:space="preserve">GUSTAVO ALFREDO RIESCO LIND / </t>
  </si>
  <si>
    <t>FINZ03042</t>
  </si>
  <si>
    <t xml:space="preserve">JOSÉ FAUSTINO LUPU FIGALLO / </t>
  </si>
  <si>
    <t xml:space="preserve">                                                   EVALUACIONES POR RECOGER </t>
  </si>
  <si>
    <t>ingrese reclamos</t>
  </si>
  <si>
    <t>SIGLA</t>
  </si>
  <si>
    <t>SECC</t>
  </si>
  <si>
    <t>BUSCAR</t>
  </si>
  <si>
    <t xml:space="preserve">DOCENTE </t>
  </si>
  <si>
    <t xml:space="preserve">EVALUACIÓN </t>
  </si>
  <si>
    <t>TURNO</t>
  </si>
  <si>
    <t>DÍA DE ENTREGA</t>
  </si>
  <si>
    <t xml:space="preserve">VCTO. DEL RECLAMO </t>
  </si>
  <si>
    <t>HORA</t>
  </si>
  <si>
    <t xml:space="preserve">RECOJO </t>
  </si>
  <si>
    <t xml:space="preserve">LUGAR </t>
  </si>
  <si>
    <t xml:space="preserve">N° RECLAMOS </t>
  </si>
  <si>
    <t>OBS.</t>
  </si>
  <si>
    <t>Columna1</t>
  </si>
  <si>
    <t>AM</t>
  </si>
  <si>
    <t>1:00p.m.</t>
  </si>
  <si>
    <t>CLASE</t>
  </si>
  <si>
    <t>Control 1</t>
  </si>
  <si>
    <t>VENTANILLA</t>
  </si>
  <si>
    <t>6:30p.m.</t>
  </si>
  <si>
    <t>AÚN NO LLEGAN LOS SOBRANTES</t>
  </si>
  <si>
    <t>PM</t>
  </si>
  <si>
    <t>Controles</t>
  </si>
  <si>
    <t>AÚN NO LLEGAN SOBRANTES</t>
  </si>
  <si>
    <t>AUN NO LLEGAN SOBRANTES</t>
  </si>
  <si>
    <t xml:space="preserve">RECLAMOS POR RECOGER </t>
  </si>
  <si>
    <t xml:space="preserve">BUSCAR </t>
  </si>
  <si>
    <t>DOCENTE</t>
  </si>
  <si>
    <t>VENCIMIENTO PARA 2° RECLAMO</t>
  </si>
  <si>
    <t>CANTIDAD 2°RECLAMOS</t>
  </si>
  <si>
    <t>OBSERVACIÓN</t>
  </si>
  <si>
    <t>1:00 p.m.</t>
  </si>
  <si>
    <t>6:00 p.m.</t>
  </si>
  <si>
    <t>PC3</t>
  </si>
  <si>
    <t>PC4</t>
  </si>
  <si>
    <t>PC2</t>
  </si>
  <si>
    <t>CONTROL 4</t>
  </si>
  <si>
    <t>PARCIAL</t>
  </si>
  <si>
    <t>PC1</t>
  </si>
  <si>
    <t>LABORATORIO</t>
  </si>
  <si>
    <t>A1CF2A</t>
  </si>
  <si>
    <t>FINAL</t>
  </si>
  <si>
    <t>A1AG4A</t>
  </si>
  <si>
    <t>A1GP2A</t>
  </si>
  <si>
    <t>A1GP1B</t>
  </si>
  <si>
    <t>A1CF1A</t>
  </si>
  <si>
    <t xml:space="preserve">JUAN CARLOS ESTEBAN VALLE BENITES / </t>
  </si>
  <si>
    <t>INFORME 2</t>
  </si>
  <si>
    <t>E2PMI1B</t>
  </si>
  <si>
    <t xml:space="preserve">ABRAHAM CRESCENCIO AGUILAR PONCE / </t>
  </si>
  <si>
    <t>E2OPT1A</t>
  </si>
  <si>
    <t>E2OPT1B</t>
  </si>
  <si>
    <t>E2FIN1A</t>
  </si>
  <si>
    <t xml:space="preserve">ALVARO EDMUNDO TRESIERRA TANAKA / SERGIO DAVID REYES LANDA / </t>
  </si>
  <si>
    <t>MLLA</t>
  </si>
  <si>
    <t>A1FZ1A</t>
  </si>
  <si>
    <t xml:space="preserve">RAFAEL ANTONIO VALERA MORENO / SERGIO DAVID REYES LANDA / </t>
  </si>
  <si>
    <t>A1FZ2A</t>
  </si>
  <si>
    <t>A1FZ3A</t>
  </si>
  <si>
    <t>A1FZ3B</t>
  </si>
  <si>
    <t>A1ST1A</t>
  </si>
  <si>
    <t>TRABAJO GRUPAL</t>
  </si>
  <si>
    <t>A1MK3A</t>
  </si>
  <si>
    <t xml:space="preserve">ANA LUCÍA MARTÍNEZ AZCÁRATE / LUIS EGBERTO ALVARADO PINTADO / </t>
  </si>
  <si>
    <t>PROMEDIO DE CONTROLES</t>
  </si>
  <si>
    <t>E2OPT2A</t>
  </si>
  <si>
    <t>E2COM1A</t>
  </si>
  <si>
    <t>A1MT2B</t>
  </si>
  <si>
    <t xml:space="preserve">JORGE LUIS MARTINEZ PEREZ / </t>
  </si>
  <si>
    <t>MT2C</t>
  </si>
  <si>
    <t>A1MT1A</t>
  </si>
  <si>
    <t xml:space="preserve">JAVIER FARFÁN NAVARRO / NESTOR JAVIER FARÍAS MORCILLO / </t>
  </si>
  <si>
    <t>RCOB</t>
  </si>
  <si>
    <t xml:space="preserve">DANTE DAVID WONG GAMARRA / </t>
  </si>
  <si>
    <t>DSOA</t>
  </si>
  <si>
    <t xml:space="preserve">VIOLETA PATRICIA GALLO NEGREIROS / </t>
  </si>
  <si>
    <t>DSOB</t>
  </si>
  <si>
    <t xml:space="preserve">                   </t>
  </si>
  <si>
    <t>LC2C</t>
  </si>
  <si>
    <t xml:space="preserve">NELLY MARÍA TRELLES CASTRO / </t>
  </si>
  <si>
    <t>PROMEDIO ACTIVIDADES</t>
  </si>
  <si>
    <t>TRAB. LABORATORIO</t>
  </si>
  <si>
    <t>PARCIAL 2</t>
  </si>
  <si>
    <t>CONTROL 3</t>
  </si>
  <si>
    <t>CONTROL 7</t>
  </si>
  <si>
    <t>SUSTITUTORIO</t>
  </si>
  <si>
    <t>¿</t>
  </si>
  <si>
    <t>11:00 a.m.</t>
  </si>
  <si>
    <t xml:space="preserve">                                                               CONTROL DE SEGUNDOS RECLAMOS 2025-I</t>
  </si>
  <si>
    <t xml:space="preserve">APELLIDOS Y NOMBRES </t>
  </si>
  <si>
    <t>SECCIÓN</t>
  </si>
  <si>
    <t xml:space="preserve">PROFESOR de la asignatura </t>
  </si>
  <si>
    <t xml:space="preserve">DIA DE ENTREGA por el alumno </t>
  </si>
  <si>
    <t>PROFESOR QUE CORREJIRÁ</t>
  </si>
  <si>
    <t>FECHA de recepción por quien corrije</t>
  </si>
  <si>
    <t>RESUELTO(CAMBIA NOTA)</t>
  </si>
  <si>
    <t>NP/P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</si>
</sst>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entury Gothic"/>
      <family val="2"/>
    </font>
    <font>
      <sz val="10"/>
      <name val="Century Gothic"/>
      <family val="2"/>
    </font>
    <font>
      <sz val="8"/>
      <name val="Century Gothic"/>
      <family val="2"/>
    </font>
    <font>
      <sz val="11"/>
      <color theme="1"/>
      <name val="Century Gothic"/>
      <family val="2"/>
    </font>
    <font>
      <b/>
      <sz val="16"/>
      <color rgb="FF000000"/>
      <name val="Calibri Light"/>
      <family val="2"/>
    </font>
    <font>
      <sz val="9"/>
      <color theme="1"/>
      <name val="Century Gothic"/>
      <family val="2"/>
    </font>
    <font>
      <sz val="8"/>
      <color theme="1"/>
      <name val="Century Gothic"/>
      <family val="2"/>
    </font>
    <font>
      <sz val="10"/>
      <color theme="1"/>
      <name val="Century Gothic"/>
      <family val="2"/>
    </font>
    <font>
      <b/>
      <sz val="18"/>
      <name val="Century Gothic"/>
      <family val="2"/>
    </font>
    <font>
      <sz val="10"/>
      <name val="Arial"/>
      <family val="2"/>
    </font>
    <font>
      <sz val="11"/>
      <color theme="1"/>
      <name val="Century Gothic"/>
    </font>
    <font>
      <sz val="8"/>
      <name val="Calibri"/>
      <family val="2"/>
      <scheme val="minor"/>
    </font>
    <font>
      <b/>
      <sz val="10"/>
      <color theme="1"/>
      <name val="Century Gothic"/>
    </font>
    <font>
      <sz val="10"/>
      <color rgb="FF000000"/>
      <name val="Century Gothic"/>
      <family val="2"/>
    </font>
    <font>
      <b/>
      <sz val="10"/>
      <color theme="1"/>
      <name val="Century Gothic"/>
      <family val="2"/>
    </font>
    <font>
      <sz val="10"/>
      <color rgb="FFFF0000"/>
      <name val="Century Gothic"/>
      <family val="2"/>
    </font>
    <font>
      <b/>
      <sz val="10"/>
      <color rgb="FFFF0000"/>
      <name val="Century Gothic"/>
      <family val="2"/>
    </font>
    <font>
      <sz val="11"/>
      <color rgb="FF000000"/>
      <name val="Century Gothic"/>
      <family val="2"/>
    </font>
    <font>
      <sz val="9"/>
      <color rgb="FF000000"/>
      <name val="Century Gothic"/>
      <family val="2"/>
    </font>
    <font>
      <sz val="8"/>
      <color rgb="FF000000"/>
      <name val="Century Gothic"/>
      <family val="2"/>
    </font>
    <font>
      <sz val="11"/>
      <color rgb="FF000000"/>
      <name val="Calibri"/>
      <family val="2"/>
      <scheme val="minor"/>
    </font>
    <font>
      <sz val="10"/>
      <color theme="1"/>
      <name val="Century Gothic"/>
    </font>
    <font>
      <sz val="10"/>
      <color rgb="FF00B0F0"/>
      <name val="Century Gothic"/>
      <family val="2"/>
    </font>
    <font>
      <sz val="11"/>
      <color rgb="FF000000"/>
      <name val="Century Gothic"/>
    </font>
    <font>
      <sz val="10"/>
      <color rgb="FFFF0000"/>
      <name val="Century Gothic"/>
    </font>
    <font>
      <sz val="10"/>
      <name val="Century Gothic"/>
    </font>
    <font>
      <b/>
      <sz val="10"/>
      <color rgb="FF000000"/>
      <name val="Century Gothic"/>
      <family val="2"/>
    </font>
    <font>
      <sz val="9"/>
      <color rgb="FF000000"/>
      <name val="Century Gothic"/>
    </font>
    <font>
      <sz val="8"/>
      <color rgb="FF000000"/>
      <name val="Century Gothic"/>
    </font>
    <font>
      <sz val="10"/>
      <color rgb="FF000000"/>
      <name val="Century Gothic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ECFF"/>
        <bgColor rgb="FF000000"/>
      </patternFill>
    </fill>
    <fill>
      <patternFill patternType="solid">
        <fgColor rgb="FFFF93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theme="9"/>
      </top>
      <bottom/>
      <diagonal/>
    </border>
  </borders>
  <cellStyleXfs count="2">
    <xf numFmtId="0" fontId="0" fillId="0" borderId="0"/>
    <xf numFmtId="0" fontId="11" fillId="0" borderId="0" applyNumberFormat="0" applyFont="0" applyFill="0" applyBorder="0" applyAlignment="0" applyProtection="0"/>
  </cellStyleXfs>
  <cellXfs count="114">
    <xf numFmtId="0" fontId="0" fillId="0" borderId="0" xfId="0"/>
    <xf numFmtId="49" fontId="0" fillId="0" borderId="1" xfId="0" applyNumberFormat="1" applyBorder="1"/>
    <xf numFmtId="49" fontId="0" fillId="0" borderId="1" xfId="0" applyNumberFormat="1" applyBorder="1" applyAlignment="1">
      <alignment vertical="center" wrapText="1" shrinkToFit="1"/>
    </xf>
    <xf numFmtId="0" fontId="0" fillId="0" borderId="1" xfId="0" applyBorder="1"/>
    <xf numFmtId="0" fontId="0" fillId="0" borderId="1" xfId="0" applyBorder="1" applyAlignment="1">
      <alignment vertical="center" wrapText="1" shrinkToFit="1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0" fillId="0" borderId="1" xfId="0" applyNumberFormat="1" applyBorder="1" applyAlignment="1">
      <alignment shrinkToFit="1"/>
    </xf>
    <xf numFmtId="0" fontId="0" fillId="0" borderId="1" xfId="0" applyBorder="1" applyAlignment="1">
      <alignment shrinkToFit="1"/>
    </xf>
    <xf numFmtId="0" fontId="2" fillId="3" borderId="0" xfId="0" applyFont="1" applyFill="1" applyAlignment="1">
      <alignment horizontal="centerContinuous"/>
    </xf>
    <xf numFmtId="0" fontId="2" fillId="3" borderId="0" xfId="0" applyFont="1" applyFill="1" applyAlignment="1">
      <alignment horizontal="centerContinuous" vertical="center"/>
    </xf>
    <xf numFmtId="0" fontId="2" fillId="3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16" fontId="9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16" fontId="9" fillId="0" borderId="0" xfId="0" applyNumberFormat="1" applyFont="1" applyAlignment="1">
      <alignment horizontal="center" vertical="center"/>
    </xf>
    <xf numFmtId="0" fontId="0" fillId="8" borderId="0" xfId="0" applyFill="1" applyAlignment="1">
      <alignment horizontal="center"/>
    </xf>
    <xf numFmtId="0" fontId="5" fillId="0" borderId="0" xfId="0" applyFont="1" applyAlignment="1">
      <alignment vertical="center"/>
    </xf>
    <xf numFmtId="16" fontId="5" fillId="0" borderId="0" xfId="0" applyNumberFormat="1" applyFont="1" applyAlignment="1">
      <alignment horizontal="left" vertical="center" wrapText="1"/>
    </xf>
    <xf numFmtId="16" fontId="5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16" fontId="12" fillId="0" borderId="0" xfId="0" applyNumberFormat="1" applyFont="1" applyAlignment="1">
      <alignment horizontal="left" vertical="center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16" fontId="21" fillId="0" borderId="0" xfId="0" applyNumberFormat="1" applyFont="1" applyAlignment="1">
      <alignment horizontal="center" vertical="center" wrapText="1"/>
    </xf>
    <xf numFmtId="16" fontId="20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0" xfId="0" applyFont="1"/>
    <xf numFmtId="0" fontId="19" fillId="0" borderId="0" xfId="0" applyFont="1" applyAlignment="1">
      <alignment horizontal="center"/>
    </xf>
    <xf numFmtId="16" fontId="19" fillId="0" borderId="0" xfId="0" applyNumberFormat="1" applyFont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16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7" fillId="0" borderId="0" xfId="0" applyFont="1" applyAlignment="1">
      <alignment vertical="center" wrapText="1"/>
    </xf>
    <xf numFmtId="0" fontId="23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/>
    </xf>
    <xf numFmtId="16" fontId="23" fillId="0" borderId="0" xfId="0" applyNumberFormat="1" applyFont="1" applyAlignment="1">
      <alignment horizontal="center" vertical="center" wrapText="1"/>
    </xf>
    <xf numFmtId="1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vertical="center"/>
    </xf>
    <xf numFmtId="0" fontId="9" fillId="0" borderId="2" xfId="0" applyFont="1" applyBorder="1" applyAlignment="1">
      <alignment vertical="center"/>
    </xf>
    <xf numFmtId="0" fontId="5" fillId="7" borderId="0" xfId="0" applyFont="1" applyFill="1" applyAlignment="1">
      <alignment horizontal="left" vertical="center"/>
    </xf>
    <xf numFmtId="0" fontId="12" fillId="7" borderId="0" xfId="0" applyFont="1" applyFill="1" applyAlignment="1">
      <alignment horizontal="left" vertical="center"/>
    </xf>
    <xf numFmtId="16" fontId="9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16" fontId="9" fillId="0" borderId="3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/>
    </xf>
    <xf numFmtId="0" fontId="9" fillId="0" borderId="4" xfId="0" applyFont="1" applyBorder="1" applyAlignment="1">
      <alignment horizontal="center" vertical="center"/>
    </xf>
    <xf numFmtId="16" fontId="9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2" xfId="0" applyFont="1" applyBorder="1" applyAlignment="1">
      <alignment vertical="center" wrapText="1"/>
    </xf>
    <xf numFmtId="0" fontId="26" fillId="0" borderId="0" xfId="0" applyFont="1" applyAlignment="1">
      <alignment vertical="center" wrapText="1"/>
    </xf>
    <xf numFmtId="0" fontId="27" fillId="0" borderId="0" xfId="0" applyFont="1" applyAlignment="1">
      <alignment horizontal="left" vertical="center"/>
    </xf>
    <xf numFmtId="49" fontId="0" fillId="0" borderId="1" xfId="0" applyNumberFormat="1" applyBorder="1" applyAlignment="1">
      <alignment wrapText="1"/>
    </xf>
    <xf numFmtId="0" fontId="0" fillId="0" borderId="0" xfId="0" applyAlignment="1">
      <alignment wrapText="1"/>
    </xf>
    <xf numFmtId="16" fontId="9" fillId="0" borderId="4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23" fillId="0" borderId="2" xfId="0" applyFont="1" applyBorder="1" applyAlignment="1">
      <alignment vertical="center"/>
    </xf>
    <xf numFmtId="0" fontId="17" fillId="0" borderId="2" xfId="0" applyFont="1" applyBorder="1" applyAlignment="1">
      <alignment vertical="center" wrapText="1"/>
    </xf>
    <xf numFmtId="16" fontId="29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16" fontId="30" fillId="0" borderId="0" xfId="0" applyNumberFormat="1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left" vertical="center"/>
    </xf>
    <xf numFmtId="16" fontId="5" fillId="0" borderId="5" xfId="0" applyNumberFormat="1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/>
    </xf>
    <xf numFmtId="16" fontId="12" fillId="0" borderId="5" xfId="0" applyNumberFormat="1" applyFont="1" applyBorder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6" fillId="0" borderId="0" xfId="0" quotePrefix="1" applyFont="1" applyAlignment="1">
      <alignment vertical="center"/>
    </xf>
    <xf numFmtId="0" fontId="14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7" borderId="0" xfId="0" applyFont="1" applyFill="1" applyAlignment="1">
      <alignment horizontal="center" vertical="center" wrapText="1"/>
    </xf>
    <xf numFmtId="0" fontId="14" fillId="9" borderId="0" xfId="0" applyFont="1" applyFill="1" applyAlignment="1">
      <alignment vertical="center"/>
    </xf>
    <xf numFmtId="0" fontId="9" fillId="9" borderId="0" xfId="0" applyFont="1" applyFill="1" applyAlignment="1">
      <alignment vertical="center"/>
    </xf>
    <xf numFmtId="0" fontId="16" fillId="9" borderId="0" xfId="0" applyFont="1" applyFill="1" applyAlignment="1">
      <alignment vertical="center"/>
    </xf>
    <xf numFmtId="0" fontId="28" fillId="9" borderId="0" xfId="0" applyFont="1" applyFill="1" applyAlignment="1">
      <alignment vertical="center"/>
    </xf>
    <xf numFmtId="0" fontId="16" fillId="10" borderId="0" xfId="0" applyFont="1" applyFill="1" applyAlignment="1">
      <alignment vertical="center"/>
    </xf>
    <xf numFmtId="0" fontId="14" fillId="7" borderId="0" xfId="0" applyFont="1" applyFill="1" applyAlignment="1">
      <alignment horizontal="center" vertical="center" wrapText="1"/>
    </xf>
    <xf numFmtId="0" fontId="16" fillId="11" borderId="0" xfId="0" applyFont="1" applyFill="1" applyAlignment="1">
      <alignment vertical="center"/>
    </xf>
    <xf numFmtId="0" fontId="16" fillId="11" borderId="0" xfId="0" applyFont="1" applyFill="1" applyAlignment="1">
      <alignment vertical="center" wrapText="1"/>
    </xf>
    <xf numFmtId="0" fontId="10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5B74BE4E-9F2C-4957-825D-AEC4D9302722}"/>
  </cellStyles>
  <dxfs count="42">
    <dxf>
      <font>
        <strike val="0"/>
        <outline val="0"/>
        <shadow val="0"/>
        <u val="none"/>
        <vertAlign val="baseline"/>
        <color rgb="FF000000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color rgb="FF000000"/>
        <name val="Century Gothic"/>
        <family val="2"/>
        <scheme val="none"/>
      </font>
      <alignment horizontal="center"/>
    </dxf>
    <dxf>
      <font>
        <strike val="0"/>
        <outline val="0"/>
        <shadow val="0"/>
        <u val="none"/>
        <vertAlign val="baseline"/>
        <color rgb="FF000000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color rgb="FF000000"/>
        <name val="Century Gothic"/>
        <family val="2"/>
        <scheme val="none"/>
      </font>
      <alignment horizontal="center"/>
    </dxf>
    <dxf>
      <font>
        <strike val="0"/>
        <outline val="0"/>
        <shadow val="0"/>
        <u val="none"/>
        <vertAlign val="baseline"/>
        <color rgb="FF000000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color rgb="FF000000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color rgb="FF000000"/>
        <name val="Century Gothic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rgb="FF000000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color rgb="FF000000"/>
        <name val="Century Gothic"/>
        <family val="2"/>
        <scheme val="none"/>
      </font>
      <alignment horizontal="center"/>
    </dxf>
    <dxf>
      <font>
        <strike val="0"/>
        <outline val="0"/>
        <shadow val="0"/>
        <u val="none"/>
        <vertAlign val="baseline"/>
        <color rgb="FF000000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color rgb="FF000000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color rgb="FF000000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vertical="center"/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vertical="center"/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vertical="center"/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vertical="center"/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vertical="center"/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vertical="center"/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vertical="center"/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/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vertical="center"/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vertical="center"/>
    </dxf>
    <dxf>
      <font>
        <strike val="0"/>
        <outline val="0"/>
        <shadow val="0"/>
        <u val="none"/>
        <vertAlign val="baseline"/>
        <color theme="1"/>
        <name val="Century Gothic"/>
        <family val="2"/>
        <scheme val="none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21" formatCode="dd\-m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939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E2333B-5EEA-46C6-B773-9B8552FE7C91}" name="Tabla2" displayName="Tabla2" ref="A4:N693" totalsRowShown="0" headerRowDxfId="41" dataDxfId="40">
  <autoFilter ref="A4:N693" xr:uid="{02E2333B-5EEA-46C6-B773-9B8552FE7C91}"/>
  <tableColumns count="14">
    <tableColumn id="1" xr3:uid="{B548728B-7A81-41A0-9C40-07E616CF95B7}" name="SIGLA" dataDxfId="39"/>
    <tableColumn id="2" xr3:uid="{87A7AC68-2F4B-4444-9E21-9F9537FB32FC}" name="SECC" dataDxfId="38"/>
    <tableColumn id="3" xr3:uid="{26D044A2-E3C3-4969-AE31-C318EE079513}" name="BUSCAR" dataDxfId="37">
      <calculatedColumnFormula>A5&amp;B5</calculatedColumnFormula>
    </tableColumn>
    <tableColumn id="4" xr3:uid="{6682662C-8F4C-4C44-B057-F7DDBAA2C435}" name="DOCENTE " dataDxfId="36">
      <calculatedColumnFormula>VLOOKUP($C5,Asignaturas!$C$5:$D$261,2,0)</calculatedColumnFormula>
    </tableColumn>
    <tableColumn id="5" xr3:uid="{68538EF1-8D53-4330-9CD8-2CE27E971EA1}" name="EVALUACIÓN " dataDxfId="35"/>
    <tableColumn id="6" xr3:uid="{93070268-DD07-4153-A452-F587843BC9B1}" name="TURNO" dataDxfId="34"/>
    <tableColumn id="7" xr3:uid="{035EDA30-D629-498D-9B8D-D745A7113D32}" name="DÍA DE ENTREGA" dataDxfId="33"/>
    <tableColumn id="8" xr3:uid="{C35B1DB9-2958-4350-9EE5-50FFAA7F9A0F}" name="VCTO. DEL RECLAMO " dataDxfId="32"/>
    <tableColumn id="9" xr3:uid="{996A771A-7BD5-447F-866D-1858A460DDB2}" name="HORA" dataDxfId="31"/>
    <tableColumn id="10" xr3:uid="{9AC442CA-EC7B-496C-A10D-1DF4F6D2260D}" name="RECOJO " dataDxfId="30">
      <calculatedColumnFormula>+Tabla2[[#This Row],[DÍA DE ENTREGA]]+8</calculatedColumnFormula>
    </tableColumn>
    <tableColumn id="11" xr3:uid="{8092CE5A-1177-43C8-A418-288BFFC2F6AF}" name="LUGAR " dataDxfId="29"/>
    <tableColumn id="12" xr3:uid="{AA6625CE-7CE8-4FFB-BBE7-9B0DC3BF5CF1}" name="N° RECLAMOS " dataDxfId="28"/>
    <tableColumn id="13" xr3:uid="{97E156C7-79BC-40C3-A52A-C86CD4242D61}" name="OBS." dataDxfId="27"/>
    <tableColumn id="14" xr3:uid="{D3AE4D71-369D-4C66-9CDF-BA17F385E244}" name="Columna1" dataDxfId="26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0B65EE-E7B1-4F3A-BF76-A3A9DF733358}" name="Tabla24" displayName="Tabla24" ref="A4:K466" totalsRowShown="0" headerRowDxfId="25" dataDxfId="24">
  <autoFilter ref="A4:K466" xr:uid="{700B65EE-E7B1-4F3A-BF76-A3A9DF733358}"/>
  <tableColumns count="11">
    <tableColumn id="1" xr3:uid="{41486AF2-96E5-4D02-977F-0FEA6EC5670E}" name="SIGLA" dataDxfId="23"/>
    <tableColumn id="2" xr3:uid="{059FCC6A-C500-4232-B407-AC14B196ADAD}" name="SECC" dataDxfId="22"/>
    <tableColumn id="10" xr3:uid="{DF15D44E-ED4A-40A0-8A01-39EA362A704C}" name="BUSCAR " dataDxfId="21">
      <calculatedColumnFormula>A5&amp;B5</calculatedColumnFormula>
    </tableColumn>
    <tableColumn id="3" xr3:uid="{91741B6F-9D74-443E-AD16-8D9991CBB965}" name="DOCENTE" dataDxfId="20">
      <calculatedColumnFormula>VLOOKUP($C5,Asignaturas!$C$5:$D$261,2,0)</calculatedColumnFormula>
    </tableColumn>
    <tableColumn id="4" xr3:uid="{7AC6B1E3-8885-473C-8EB1-AEB263D1FBFD}" name="EVALUACIÓN " dataDxfId="19"/>
    <tableColumn id="5" xr3:uid="{C016A75B-18B4-43D2-BB3D-E609FF4B8CD0}" name="TURNO" dataDxfId="18"/>
    <tableColumn id="6" xr3:uid="{E73FD795-6A98-4800-A21D-CEB2F4B84AC7}" name="DÍA DE ENTREGA" dataDxfId="17"/>
    <tableColumn id="7" xr3:uid="{7FDB91F9-14E4-4404-B91D-16D38BEAF2A9}" name="VENCIMIENTO PARA 2° RECLAMO" dataDxfId="16"/>
    <tableColumn id="8" xr3:uid="{6D2B3683-0A9D-4569-A08E-870D8E5B0392}" name="HORA" dataDxfId="15"/>
    <tableColumn id="9" xr3:uid="{4E6C3181-5589-4DE4-8D35-C390A3B1481C}" name="CANTIDAD 2°RECLAMOS" dataDxfId="14"/>
    <tableColumn id="11" xr3:uid="{4154DF27-6BC3-4C8A-ABA1-51A68397636A}" name="OBSERVACIÓN" dataDxfId="13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A992EB-72FD-4867-81B3-D71927056E86}" name="Tabla3" displayName="Tabla3" ref="A4:K58" totalsRowShown="0" headerRowDxfId="12" dataDxfId="11">
  <autoFilter ref="A4:K58" xr:uid="{EDA992EB-72FD-4867-81B3-D71927056E86}"/>
  <tableColumns count="11">
    <tableColumn id="1" xr3:uid="{309BCFD9-6722-484C-8649-1F7610147E72}" name="SIGLA" dataDxfId="10"/>
    <tableColumn id="2" xr3:uid="{34ED59A9-B506-42C6-A9BA-5842F3F95381}" name="APELLIDOS Y NOMBRES " dataDxfId="9"/>
    <tableColumn id="3" xr3:uid="{76C05752-E98B-4145-8243-A322A481987E}" name="SECCIÓN" dataDxfId="8"/>
    <tableColumn id="8" xr3:uid="{9395734A-EE24-43E2-BE54-D7893EDCE215}" name="BUSCAR " dataDxfId="7">
      <calculatedColumnFormula>A5&amp;C5</calculatedColumnFormula>
    </tableColumn>
    <tableColumn id="4" xr3:uid="{F1CC77CF-60CF-4345-AD1C-11E2D69F507C}" name="PROFESOR de la asignatura " dataDxfId="6">
      <calculatedColumnFormula>VLOOKUP(D5,Asignaturas!$C$5:$D$261,2,0)</calculatedColumnFormula>
    </tableColumn>
    <tableColumn id="5" xr3:uid="{91B9B8B6-4022-4A63-BC39-375A421BAD5E}" name="EVALUACIÓN " dataDxfId="5"/>
    <tableColumn id="6" xr3:uid="{55F7641C-89B4-4759-9D7B-7D2D16B05387}" name="DIA DE ENTREGA por el alumno " dataDxfId="4"/>
    <tableColumn id="7" xr3:uid="{AD9A7368-1625-410B-9AB0-AE061430B240}" name="PROFESOR QUE CORREJIRÁ" dataDxfId="3"/>
    <tableColumn id="9" xr3:uid="{7E20C829-74AB-4F4D-A219-73D140AEE142}" name="FECHA de recepción por quien corrije" dataDxfId="2"/>
    <tableColumn id="10" xr3:uid="{48B627BA-75E4-4208-A31D-65376A5F071C}" name="RESUELTO(CAMBIA NOTA)" dataDxfId="1"/>
    <tableColumn id="11" xr3:uid="{85705073-69BE-4F31-BE85-C9DF7F56750E}" name="NP/P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C40C3-3D5C-4476-8F2C-8F010D52EFD2}">
  <sheetPr codeName="Hoja1"/>
  <dimension ref="A4:G264"/>
  <sheetViews>
    <sheetView showGridLines="0" topLeftCell="A110" zoomScale="114" zoomScaleNormal="115" workbookViewId="0">
      <selection activeCell="C115" sqref="C115:E116"/>
    </sheetView>
  </sheetViews>
  <sheetFormatPr defaultColWidth="11.42578125" defaultRowHeight="15"/>
  <cols>
    <col min="1" max="1" width="11.7109375" bestFit="1" customWidth="1"/>
    <col min="3" max="3" width="11.42578125" customWidth="1"/>
    <col min="4" max="4" width="54.7109375" customWidth="1"/>
    <col min="5" max="5" width="74.85546875" bestFit="1" customWidth="1"/>
    <col min="7" max="7" width="14.7109375" customWidth="1"/>
  </cols>
  <sheetData>
    <row r="4" spans="1:7" ht="24" customHeight="1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G4" s="5" t="s">
        <v>5</v>
      </c>
    </row>
    <row r="5" spans="1:7" ht="24.95" customHeight="1">
      <c r="A5" s="3" t="s">
        <v>6</v>
      </c>
      <c r="B5" s="3" t="s">
        <v>7</v>
      </c>
      <c r="C5" s="25" t="str">
        <f>A5&amp;B5</f>
        <v>A1ADEE9A</v>
      </c>
      <c r="D5" s="4" t="s">
        <v>8</v>
      </c>
      <c r="E5" s="3" t="s">
        <v>9</v>
      </c>
      <c r="G5" s="1" t="s">
        <v>10</v>
      </c>
    </row>
    <row r="6" spans="1:7" ht="24.95" customHeight="1">
      <c r="A6" s="25" t="s">
        <v>11</v>
      </c>
      <c r="B6" s="25" t="s">
        <v>7</v>
      </c>
      <c r="C6" s="25" t="str">
        <f>A6&amp;B6</f>
        <v>A1AG1A</v>
      </c>
      <c r="D6" s="2" t="s">
        <v>12</v>
      </c>
      <c r="E6" s="3" t="s">
        <v>13</v>
      </c>
      <c r="G6" s="1" t="s">
        <v>14</v>
      </c>
    </row>
    <row r="7" spans="1:7" ht="24.95" customHeight="1">
      <c r="A7" s="3" t="s">
        <v>11</v>
      </c>
      <c r="B7" s="3" t="s">
        <v>15</v>
      </c>
      <c r="C7" s="25" t="str">
        <f>A7&amp;B7</f>
        <v>A1AG1B</v>
      </c>
      <c r="D7" s="4" t="s">
        <v>16</v>
      </c>
      <c r="E7" s="1" t="s">
        <v>13</v>
      </c>
      <c r="G7" s="1" t="s">
        <v>17</v>
      </c>
    </row>
    <row r="8" spans="1:7" ht="24.95" customHeight="1">
      <c r="A8" s="3" t="s">
        <v>11</v>
      </c>
      <c r="B8" s="3" t="s">
        <v>18</v>
      </c>
      <c r="C8" s="25" t="str">
        <f>A8&amp;B8</f>
        <v>A1AG1C</v>
      </c>
      <c r="D8" s="4" t="s">
        <v>16</v>
      </c>
      <c r="E8" s="1" t="s">
        <v>13</v>
      </c>
      <c r="G8" s="1" t="s">
        <v>19</v>
      </c>
    </row>
    <row r="9" spans="1:7" ht="24.95" customHeight="1">
      <c r="A9" s="3" t="s">
        <v>11</v>
      </c>
      <c r="B9" s="3" t="s">
        <v>20</v>
      </c>
      <c r="C9" s="25" t="str">
        <f>A9&amp;B9</f>
        <v>A1AG1D</v>
      </c>
      <c r="D9" s="4" t="s">
        <v>16</v>
      </c>
      <c r="E9" s="1" t="s">
        <v>13</v>
      </c>
      <c r="G9" s="1" t="s">
        <v>21</v>
      </c>
    </row>
    <row r="10" spans="1:7" ht="24.95" customHeight="1">
      <c r="A10" s="3" t="s">
        <v>22</v>
      </c>
      <c r="B10" s="3" t="s">
        <v>7</v>
      </c>
      <c r="C10" s="25" t="str">
        <f>A10&amp;B10</f>
        <v>A1AG2A</v>
      </c>
      <c r="D10" s="4" t="s">
        <v>23</v>
      </c>
      <c r="E10" s="3" t="s">
        <v>24</v>
      </c>
      <c r="G10" s="1" t="s">
        <v>25</v>
      </c>
    </row>
    <row r="11" spans="1:7" ht="24.95" customHeight="1">
      <c r="A11" s="25" t="s">
        <v>22</v>
      </c>
      <c r="B11" s="25" t="s">
        <v>15</v>
      </c>
      <c r="C11" s="25" t="str">
        <f>A11&amp;B11</f>
        <v>A1AG2B</v>
      </c>
      <c r="D11" s="2" t="s">
        <v>23</v>
      </c>
      <c r="E11" s="24" t="s">
        <v>24</v>
      </c>
      <c r="G11" s="1" t="s">
        <v>26</v>
      </c>
    </row>
    <row r="12" spans="1:7" ht="24.95" customHeight="1">
      <c r="A12" s="25" t="s">
        <v>27</v>
      </c>
      <c r="B12" s="25" t="s">
        <v>7</v>
      </c>
      <c r="C12" s="25" t="str">
        <f>A12&amp;B12</f>
        <v>A1AG3A</v>
      </c>
      <c r="D12" s="4" t="s">
        <v>28</v>
      </c>
      <c r="E12" s="3" t="s">
        <v>29</v>
      </c>
      <c r="G12" s="1" t="s">
        <v>30</v>
      </c>
    </row>
    <row r="13" spans="1:7" ht="24.95" customHeight="1">
      <c r="A13" s="3" t="s">
        <v>27</v>
      </c>
      <c r="B13" s="3" t="s">
        <v>15</v>
      </c>
      <c r="C13" s="25" t="str">
        <f>A13&amp;B13</f>
        <v>A1AG3B</v>
      </c>
      <c r="D13" s="4" t="s">
        <v>28</v>
      </c>
      <c r="E13" s="3" t="s">
        <v>29</v>
      </c>
      <c r="G13" s="1" t="s">
        <v>31</v>
      </c>
    </row>
    <row r="14" spans="1:7" ht="24.95" customHeight="1">
      <c r="A14" s="3" t="s">
        <v>32</v>
      </c>
      <c r="B14" s="3" t="s">
        <v>7</v>
      </c>
      <c r="C14" s="25" t="str">
        <f>A14&amp;B14</f>
        <v>A1AG4A</v>
      </c>
      <c r="D14" s="4" t="s">
        <v>33</v>
      </c>
      <c r="E14" s="3" t="s">
        <v>34</v>
      </c>
      <c r="G14" s="1" t="s">
        <v>35</v>
      </c>
    </row>
    <row r="15" spans="1:7" ht="24.95" customHeight="1">
      <c r="A15" s="3" t="s">
        <v>32</v>
      </c>
      <c r="B15" s="3" t="s">
        <v>15</v>
      </c>
      <c r="C15" s="25" t="str">
        <f>A15&amp;B15</f>
        <v>A1AG4B</v>
      </c>
      <c r="D15" s="4" t="s">
        <v>33</v>
      </c>
      <c r="E15" s="3" t="s">
        <v>34</v>
      </c>
      <c r="G15" s="1"/>
    </row>
    <row r="16" spans="1:7" ht="24.95" customHeight="1">
      <c r="A16" s="3" t="s">
        <v>36</v>
      </c>
      <c r="B16" s="3" t="s">
        <v>7</v>
      </c>
      <c r="C16" s="25" t="str">
        <f>A16&amp;B16</f>
        <v>A1AG5A</v>
      </c>
      <c r="D16" s="4" t="s">
        <v>12</v>
      </c>
      <c r="E16" s="3" t="s">
        <v>37</v>
      </c>
      <c r="G16" s="1" t="s">
        <v>38</v>
      </c>
    </row>
    <row r="17" spans="1:7" ht="24.95" customHeight="1">
      <c r="A17" s="3" t="s">
        <v>36</v>
      </c>
      <c r="B17" s="3" t="s">
        <v>15</v>
      </c>
      <c r="C17" s="25" t="str">
        <f>A17&amp;B17</f>
        <v>A1AG5B</v>
      </c>
      <c r="D17" s="4" t="s">
        <v>12</v>
      </c>
      <c r="E17" s="3" t="s">
        <v>37</v>
      </c>
      <c r="G17" s="1" t="s">
        <v>39</v>
      </c>
    </row>
    <row r="18" spans="1:7" ht="24.95" customHeight="1">
      <c r="A18" s="3" t="s">
        <v>40</v>
      </c>
      <c r="B18" s="3" t="s">
        <v>7</v>
      </c>
      <c r="C18" s="25" t="str">
        <f>A18&amp;B18</f>
        <v>A1AG6A</v>
      </c>
      <c r="D18" s="4" t="s">
        <v>41</v>
      </c>
      <c r="E18" s="3" t="s">
        <v>42</v>
      </c>
      <c r="G18" s="1" t="s">
        <v>43</v>
      </c>
    </row>
    <row r="19" spans="1:7" ht="24.95" customHeight="1">
      <c r="A19" s="3" t="s">
        <v>40</v>
      </c>
      <c r="B19" s="3" t="s">
        <v>15</v>
      </c>
      <c r="C19" s="25" t="str">
        <f>A19&amp;B19</f>
        <v>A1AG6B</v>
      </c>
      <c r="D19" s="4" t="s">
        <v>44</v>
      </c>
      <c r="E19" s="3" t="s">
        <v>42</v>
      </c>
      <c r="G19" s="1" t="s">
        <v>45</v>
      </c>
    </row>
    <row r="20" spans="1:7" ht="24.95" customHeight="1">
      <c r="A20" s="3" t="s">
        <v>46</v>
      </c>
      <c r="B20" s="3" t="s">
        <v>7</v>
      </c>
      <c r="C20" s="25" t="str">
        <f>A20&amp;B20</f>
        <v>A1AGGE9A</v>
      </c>
      <c r="D20" s="2" t="s">
        <v>44</v>
      </c>
      <c r="E20" s="24" t="s">
        <v>47</v>
      </c>
      <c r="G20" s="1" t="s">
        <v>48</v>
      </c>
    </row>
    <row r="21" spans="1:7" ht="24.95" customHeight="1">
      <c r="A21" s="25" t="s">
        <v>49</v>
      </c>
      <c r="B21" s="25" t="s">
        <v>7</v>
      </c>
      <c r="C21" s="25" t="str">
        <f>A21&amp;B21</f>
        <v>A1AGGI9A</v>
      </c>
      <c r="D21" s="2" t="s">
        <v>50</v>
      </c>
      <c r="E21" s="24" t="s">
        <v>51</v>
      </c>
      <c r="G21" s="1" t="s">
        <v>52</v>
      </c>
    </row>
    <row r="22" spans="1:7" ht="24.95" customHeight="1">
      <c r="A22" s="25" t="s">
        <v>53</v>
      </c>
      <c r="B22" s="25" t="s">
        <v>7</v>
      </c>
      <c r="C22" s="25" t="str">
        <f>A22&amp;B22</f>
        <v>A1AGIE9A</v>
      </c>
      <c r="D22" s="2" t="s">
        <v>54</v>
      </c>
      <c r="E22" s="24" t="s">
        <v>55</v>
      </c>
      <c r="G22" s="1" t="s">
        <v>56</v>
      </c>
    </row>
    <row r="23" spans="1:7" ht="24.95" customHeight="1">
      <c r="A23" s="3" t="s">
        <v>57</v>
      </c>
      <c r="B23" s="3" t="s">
        <v>7</v>
      </c>
      <c r="C23" s="25" t="str">
        <f>A23&amp;B23</f>
        <v>A1BSAA</v>
      </c>
      <c r="D23" s="2" t="s">
        <v>58</v>
      </c>
      <c r="E23" s="24" t="s">
        <v>59</v>
      </c>
      <c r="G23" s="1" t="s">
        <v>60</v>
      </c>
    </row>
    <row r="24" spans="1:7" ht="24.95" customHeight="1">
      <c r="A24" s="3" t="s">
        <v>57</v>
      </c>
      <c r="B24" s="3" t="s">
        <v>15</v>
      </c>
      <c r="C24" s="25" t="str">
        <f>A24&amp;B24</f>
        <v>A1BSAB</v>
      </c>
      <c r="D24" s="2" t="s">
        <v>61</v>
      </c>
      <c r="E24" s="24" t="s">
        <v>59</v>
      </c>
      <c r="G24" s="1" t="s">
        <v>62</v>
      </c>
    </row>
    <row r="25" spans="1:7" ht="24.95" customHeight="1">
      <c r="A25" s="3" t="s">
        <v>63</v>
      </c>
      <c r="B25" s="3" t="s">
        <v>7</v>
      </c>
      <c r="C25" s="25" t="str">
        <f>A25&amp;B25</f>
        <v>A1CC1A</v>
      </c>
      <c r="D25" s="2" t="s">
        <v>64</v>
      </c>
      <c r="E25" s="24" t="s">
        <v>65</v>
      </c>
      <c r="G25" s="1" t="s">
        <v>66</v>
      </c>
    </row>
    <row r="26" spans="1:7" ht="24.95" customHeight="1">
      <c r="A26" s="25" t="s">
        <v>63</v>
      </c>
      <c r="B26" s="25" t="s">
        <v>15</v>
      </c>
      <c r="C26" s="25" t="str">
        <f>A26&amp;B26</f>
        <v>A1CC1B</v>
      </c>
      <c r="D26" s="2" t="s">
        <v>67</v>
      </c>
      <c r="E26" s="24" t="s">
        <v>65</v>
      </c>
      <c r="G26" s="1" t="s">
        <v>68</v>
      </c>
    </row>
    <row r="27" spans="1:7" ht="24.95" customHeight="1">
      <c r="A27" s="25" t="s">
        <v>69</v>
      </c>
      <c r="B27" s="25" t="s">
        <v>7</v>
      </c>
      <c r="C27" s="25" t="str">
        <f>A27&amp;B27</f>
        <v>A1CC2A</v>
      </c>
      <c r="D27" s="2" t="s">
        <v>70</v>
      </c>
      <c r="E27" s="24" t="s">
        <v>71</v>
      </c>
      <c r="G27" s="1" t="s">
        <v>72</v>
      </c>
    </row>
    <row r="28" spans="1:7" ht="24.95" customHeight="1">
      <c r="A28" s="25" t="s">
        <v>69</v>
      </c>
      <c r="B28" s="25" t="s">
        <v>15</v>
      </c>
      <c r="C28" s="25" t="str">
        <f>A28&amp;B28</f>
        <v>A1CC2B</v>
      </c>
      <c r="D28" s="4" t="s">
        <v>70</v>
      </c>
      <c r="E28" s="3" t="s">
        <v>71</v>
      </c>
      <c r="G28" s="1" t="s">
        <v>73</v>
      </c>
    </row>
    <row r="29" spans="1:7" ht="24.95" customHeight="1">
      <c r="A29" s="25" t="s">
        <v>74</v>
      </c>
      <c r="B29" s="25" t="s">
        <v>7</v>
      </c>
      <c r="C29" s="25" t="str">
        <f>A29&amp;B29</f>
        <v>A1CF1A</v>
      </c>
      <c r="D29" s="2" t="s">
        <v>75</v>
      </c>
      <c r="E29" s="24" t="s">
        <v>76</v>
      </c>
      <c r="G29" s="1" t="s">
        <v>77</v>
      </c>
    </row>
    <row r="30" spans="1:7" ht="24.95" customHeight="1">
      <c r="A30" s="3" t="s">
        <v>74</v>
      </c>
      <c r="B30" s="3" t="s">
        <v>15</v>
      </c>
      <c r="C30" s="25" t="str">
        <f>A30&amp;B30</f>
        <v>A1CF1B</v>
      </c>
      <c r="D30" s="2" t="s">
        <v>78</v>
      </c>
      <c r="E30" s="24" t="s">
        <v>76</v>
      </c>
      <c r="G30" s="1" t="s">
        <v>79</v>
      </c>
    </row>
    <row r="31" spans="1:7" ht="24.95" customHeight="1">
      <c r="A31" s="3" t="s">
        <v>80</v>
      </c>
      <c r="B31" s="3" t="s">
        <v>7</v>
      </c>
      <c r="C31" s="25" t="str">
        <f>A31&amp;B31</f>
        <v>A1CF2A</v>
      </c>
      <c r="D31" s="4" t="s">
        <v>81</v>
      </c>
      <c r="E31" s="24" t="s">
        <v>82</v>
      </c>
      <c r="G31" s="1" t="s">
        <v>83</v>
      </c>
    </row>
    <row r="32" spans="1:7" ht="24.95" customHeight="1">
      <c r="A32" s="3" t="s">
        <v>80</v>
      </c>
      <c r="B32" s="3" t="s">
        <v>15</v>
      </c>
      <c r="C32" s="25" t="str">
        <f>A32&amp;B32</f>
        <v>A1CF2B</v>
      </c>
      <c r="D32" s="4" t="s">
        <v>81</v>
      </c>
      <c r="E32" s="3" t="s">
        <v>82</v>
      </c>
      <c r="G32" s="1" t="s">
        <v>30</v>
      </c>
    </row>
    <row r="33" spans="1:7" ht="24.95" customHeight="1">
      <c r="A33" s="3" t="s">
        <v>84</v>
      </c>
      <c r="B33" s="3" t="s">
        <v>7</v>
      </c>
      <c r="C33" s="25" t="str">
        <f>A33&amp;B33</f>
        <v>A1CF39A</v>
      </c>
      <c r="D33" s="2" t="s">
        <v>85</v>
      </c>
      <c r="E33" s="1" t="s">
        <v>86</v>
      </c>
      <c r="G33" s="1" t="s">
        <v>38</v>
      </c>
    </row>
    <row r="34" spans="1:7" ht="24.95" customHeight="1">
      <c r="A34" s="3" t="s">
        <v>87</v>
      </c>
      <c r="B34" s="3" t="s">
        <v>7</v>
      </c>
      <c r="C34" s="25" t="str">
        <f>A34&amp;B34</f>
        <v>A1CF49A</v>
      </c>
      <c r="D34" s="2" t="s">
        <v>88</v>
      </c>
      <c r="E34" s="24" t="s">
        <v>89</v>
      </c>
      <c r="G34" s="1" t="s">
        <v>39</v>
      </c>
    </row>
    <row r="35" spans="1:7" ht="24.95" customHeight="1">
      <c r="A35" s="25" t="s">
        <v>90</v>
      </c>
      <c r="B35" s="25" t="s">
        <v>7</v>
      </c>
      <c r="C35" s="25" t="str">
        <f>A35&amp;B35</f>
        <v>A1CIR9A</v>
      </c>
      <c r="D35" s="2" t="s">
        <v>91</v>
      </c>
      <c r="E35" s="24" t="s">
        <v>92</v>
      </c>
      <c r="G35" s="1" t="s">
        <v>43</v>
      </c>
    </row>
    <row r="36" spans="1:7" ht="24.95" customHeight="1">
      <c r="A36" s="3" t="s">
        <v>93</v>
      </c>
      <c r="B36" s="25" t="s">
        <v>7</v>
      </c>
      <c r="C36" s="25" t="str">
        <f>A36&amp;B36</f>
        <v>A1CST9A</v>
      </c>
      <c r="D36" s="2" t="s">
        <v>75</v>
      </c>
      <c r="E36" s="1" t="s">
        <v>94</v>
      </c>
      <c r="G36" s="1" t="s">
        <v>45</v>
      </c>
    </row>
    <row r="37" spans="1:7" ht="24.95" customHeight="1">
      <c r="A37" s="3" t="s">
        <v>95</v>
      </c>
      <c r="B37" s="3" t="s">
        <v>7</v>
      </c>
      <c r="C37" s="25" t="str">
        <f>A37&amp;B37</f>
        <v>A1DCCA</v>
      </c>
      <c r="D37" s="4" t="s">
        <v>96</v>
      </c>
      <c r="E37" s="3" t="s">
        <v>97</v>
      </c>
      <c r="G37" s="1" t="s">
        <v>48</v>
      </c>
    </row>
    <row r="38" spans="1:7" ht="24.95" customHeight="1">
      <c r="A38" s="3" t="s">
        <v>95</v>
      </c>
      <c r="B38" s="3" t="s">
        <v>15</v>
      </c>
      <c r="C38" s="25" t="str">
        <f>A38&amp;B38</f>
        <v>A1DCCB</v>
      </c>
      <c r="D38" s="4" t="s">
        <v>96</v>
      </c>
      <c r="E38" s="3" t="s">
        <v>97</v>
      </c>
      <c r="G38" s="1" t="s">
        <v>98</v>
      </c>
    </row>
    <row r="39" spans="1:7" ht="24.95" customHeight="1">
      <c r="A39" s="3" t="s">
        <v>99</v>
      </c>
      <c r="B39" s="3" t="s">
        <v>7</v>
      </c>
      <c r="C39" s="25" t="str">
        <f>A39&amp;B39</f>
        <v>A1DLTA</v>
      </c>
      <c r="D39" s="4" t="s">
        <v>100</v>
      </c>
      <c r="E39" s="3" t="s">
        <v>101</v>
      </c>
      <c r="G39" s="80" t="s">
        <v>102</v>
      </c>
    </row>
    <row r="40" spans="1:7" ht="24.95" customHeight="1">
      <c r="A40" s="3" t="s">
        <v>103</v>
      </c>
      <c r="B40" s="3" t="s">
        <v>7</v>
      </c>
      <c r="C40" s="25" t="str">
        <f>A40&amp;B40</f>
        <v>A1DPEA9A</v>
      </c>
      <c r="D40" s="4" t="s">
        <v>104</v>
      </c>
      <c r="E40" s="3" t="s">
        <v>105</v>
      </c>
      <c r="G40" s="1" t="s">
        <v>106</v>
      </c>
    </row>
    <row r="41" spans="1:7" ht="24.95" customHeight="1">
      <c r="A41" s="3" t="s">
        <v>107</v>
      </c>
      <c r="B41" s="3" t="s">
        <v>7</v>
      </c>
      <c r="C41" s="25" t="str">
        <f>A41&amp;B41</f>
        <v>A1DPRT9A</v>
      </c>
      <c r="D41" s="2" t="s">
        <v>108</v>
      </c>
      <c r="E41" s="1" t="s">
        <v>109</v>
      </c>
      <c r="G41" s="81" t="s">
        <v>110</v>
      </c>
    </row>
    <row r="42" spans="1:7" ht="24.95" customHeight="1">
      <c r="A42" s="3" t="s">
        <v>111</v>
      </c>
      <c r="B42" s="3" t="s">
        <v>7</v>
      </c>
      <c r="C42" s="25" t="str">
        <f>A42&amp;B42</f>
        <v>A1EC1A</v>
      </c>
      <c r="D42" s="4" t="s">
        <v>112</v>
      </c>
      <c r="E42" s="3" t="s">
        <v>113</v>
      </c>
      <c r="G42" t="s">
        <v>114</v>
      </c>
    </row>
    <row r="43" spans="1:7" ht="24.95" customHeight="1">
      <c r="A43" s="3" t="s">
        <v>111</v>
      </c>
      <c r="B43" s="3" t="s">
        <v>15</v>
      </c>
      <c r="C43" s="25" t="str">
        <f>A43&amp;B43</f>
        <v>A1EC1B</v>
      </c>
      <c r="D43" s="4" t="s">
        <v>112</v>
      </c>
      <c r="E43" s="3" t="s">
        <v>113</v>
      </c>
      <c r="G43" t="s">
        <v>115</v>
      </c>
    </row>
    <row r="44" spans="1:7" ht="24.95" customHeight="1">
      <c r="A44" s="3" t="s">
        <v>116</v>
      </c>
      <c r="B44" s="3" t="s">
        <v>7</v>
      </c>
      <c r="C44" s="25" t="str">
        <f>A44&amp;B44</f>
        <v>A1EC2A</v>
      </c>
      <c r="D44" s="4" t="s">
        <v>117</v>
      </c>
      <c r="E44" s="3" t="s">
        <v>118</v>
      </c>
      <c r="G44" t="s">
        <v>119</v>
      </c>
    </row>
    <row r="45" spans="1:7" ht="24.95" customHeight="1">
      <c r="A45" s="25" t="s">
        <v>120</v>
      </c>
      <c r="B45" s="25" t="s">
        <v>7</v>
      </c>
      <c r="C45" s="25" t="str">
        <f>A45&amp;B45</f>
        <v>A1ES1A</v>
      </c>
      <c r="D45" s="4" t="s">
        <v>121</v>
      </c>
      <c r="E45" s="3" t="s">
        <v>122</v>
      </c>
      <c r="G45" t="s">
        <v>123</v>
      </c>
    </row>
    <row r="46" spans="1:7" ht="24.95" customHeight="1">
      <c r="A46" s="25" t="s">
        <v>120</v>
      </c>
      <c r="B46" s="25" t="s">
        <v>15</v>
      </c>
      <c r="C46" s="25" t="str">
        <f>A46&amp;B46</f>
        <v>A1ES1B</v>
      </c>
      <c r="D46" s="4" t="s">
        <v>124</v>
      </c>
      <c r="E46" s="3" t="s">
        <v>122</v>
      </c>
      <c r="G46" t="s">
        <v>125</v>
      </c>
    </row>
    <row r="47" spans="1:7" ht="24.95" customHeight="1">
      <c r="A47" s="3" t="s">
        <v>126</v>
      </c>
      <c r="B47" s="3" t="s">
        <v>7</v>
      </c>
      <c r="C47" s="25" t="str">
        <f>A47&amp;B47</f>
        <v>A1ES2A</v>
      </c>
      <c r="D47" s="4" t="s">
        <v>61</v>
      </c>
      <c r="E47" s="3" t="s">
        <v>127</v>
      </c>
      <c r="G47" s="81" t="s">
        <v>128</v>
      </c>
    </row>
    <row r="48" spans="1:7" ht="24.95" customHeight="1">
      <c r="A48" s="25" t="s">
        <v>126</v>
      </c>
      <c r="B48" s="25" t="s">
        <v>15</v>
      </c>
      <c r="C48" s="25" t="str">
        <f>A48&amp;B48</f>
        <v>A1ES2B</v>
      </c>
      <c r="D48" s="4" t="s">
        <v>61</v>
      </c>
      <c r="E48" s="3" t="s">
        <v>127</v>
      </c>
    </row>
    <row r="49" spans="1:5" ht="24.95" customHeight="1">
      <c r="A49" s="3" t="s">
        <v>129</v>
      </c>
      <c r="B49" s="3" t="s">
        <v>7</v>
      </c>
      <c r="C49" s="25" t="str">
        <f>A49&amp;B49</f>
        <v>A1ETNA</v>
      </c>
      <c r="D49" s="4" t="s">
        <v>130</v>
      </c>
      <c r="E49" s="3" t="s">
        <v>131</v>
      </c>
    </row>
    <row r="50" spans="1:5" ht="24.95" customHeight="1">
      <c r="A50" s="3" t="s">
        <v>129</v>
      </c>
      <c r="B50" s="3" t="s">
        <v>15</v>
      </c>
      <c r="C50" s="25" t="str">
        <f>A50&amp;B50</f>
        <v>A1ETNB</v>
      </c>
      <c r="D50" s="4" t="s">
        <v>130</v>
      </c>
      <c r="E50" s="1" t="s">
        <v>131</v>
      </c>
    </row>
    <row r="51" spans="1:5" ht="24.95" customHeight="1">
      <c r="A51" s="3" t="s">
        <v>132</v>
      </c>
      <c r="B51" s="3" t="s">
        <v>7</v>
      </c>
      <c r="C51" s="25" t="str">
        <f>A51&amp;B51</f>
        <v>A1FP1A</v>
      </c>
      <c r="D51" s="4" t="s">
        <v>133</v>
      </c>
      <c r="E51" s="25" t="s">
        <v>134</v>
      </c>
    </row>
    <row r="52" spans="1:5" ht="24.95" customHeight="1">
      <c r="A52" s="3" t="s">
        <v>132</v>
      </c>
      <c r="B52" s="3" t="s">
        <v>15</v>
      </c>
      <c r="C52" s="25" t="str">
        <f>A52&amp;B52</f>
        <v>A1FP1B</v>
      </c>
      <c r="D52" s="4" t="s">
        <v>133</v>
      </c>
      <c r="E52" s="25" t="s">
        <v>134</v>
      </c>
    </row>
    <row r="53" spans="1:5" ht="24.95" customHeight="1">
      <c r="A53" s="3" t="s">
        <v>132</v>
      </c>
      <c r="B53" s="3" t="s">
        <v>18</v>
      </c>
      <c r="C53" s="25" t="str">
        <f>A53&amp;B53</f>
        <v>A1FP1C</v>
      </c>
      <c r="D53" s="4" t="s">
        <v>133</v>
      </c>
      <c r="E53" s="25" t="s">
        <v>134</v>
      </c>
    </row>
    <row r="54" spans="1:5" ht="24.95" customHeight="1">
      <c r="A54" s="25" t="s">
        <v>135</v>
      </c>
      <c r="B54" s="25" t="s">
        <v>7</v>
      </c>
      <c r="C54" s="25" t="str">
        <f>A54&amp;B54</f>
        <v>A1FZ1A</v>
      </c>
      <c r="D54" s="4" t="s">
        <v>136</v>
      </c>
      <c r="E54" s="3" t="s">
        <v>137</v>
      </c>
    </row>
    <row r="55" spans="1:5" ht="24.95" customHeight="1">
      <c r="A55" s="25" t="s">
        <v>135</v>
      </c>
      <c r="B55" s="25" t="s">
        <v>15</v>
      </c>
      <c r="C55" s="25" t="str">
        <f>A55&amp;B55</f>
        <v>A1FZ1B</v>
      </c>
      <c r="D55" s="4" t="s">
        <v>136</v>
      </c>
      <c r="E55" s="3" t="s">
        <v>137</v>
      </c>
    </row>
    <row r="56" spans="1:5" ht="24.95" customHeight="1">
      <c r="A56" s="3" t="s">
        <v>138</v>
      </c>
      <c r="B56" s="3" t="s">
        <v>7</v>
      </c>
      <c r="C56" s="25" t="str">
        <f>A56&amp;B56</f>
        <v>A1FZ2A</v>
      </c>
      <c r="D56" s="4" t="s">
        <v>139</v>
      </c>
      <c r="E56" s="3" t="s">
        <v>140</v>
      </c>
    </row>
    <row r="57" spans="1:5" ht="24.95" customHeight="1">
      <c r="A57" s="3" t="s">
        <v>138</v>
      </c>
      <c r="B57" s="3" t="s">
        <v>15</v>
      </c>
      <c r="C57" s="25" t="str">
        <f>A57&amp;B57</f>
        <v>A1FZ2B</v>
      </c>
      <c r="D57" s="4" t="s">
        <v>139</v>
      </c>
      <c r="E57" s="3" t="s">
        <v>140</v>
      </c>
    </row>
    <row r="58" spans="1:5" ht="24.95" customHeight="1">
      <c r="A58" s="25" t="s">
        <v>141</v>
      </c>
      <c r="B58" s="25" t="s">
        <v>7</v>
      </c>
      <c r="C58" s="25" t="str">
        <f>A58&amp;B58</f>
        <v>A1FZ3A</v>
      </c>
      <c r="D58" s="2" t="s">
        <v>142</v>
      </c>
      <c r="E58" s="1" t="s">
        <v>143</v>
      </c>
    </row>
    <row r="59" spans="1:5" ht="24.95" customHeight="1">
      <c r="A59" s="25" t="s">
        <v>141</v>
      </c>
      <c r="B59" s="25" t="s">
        <v>15</v>
      </c>
      <c r="C59" s="25" t="str">
        <f>A59&amp;B59</f>
        <v>A1FZ3B</v>
      </c>
      <c r="D59" s="2" t="s">
        <v>142</v>
      </c>
      <c r="E59" s="1" t="s">
        <v>143</v>
      </c>
    </row>
    <row r="60" spans="1:5" ht="24.95" customHeight="1">
      <c r="A60" s="25" t="s">
        <v>144</v>
      </c>
      <c r="B60" s="25" t="s">
        <v>15</v>
      </c>
      <c r="C60" s="25" t="str">
        <f>A60&amp;B60</f>
        <v>A1FZ4B</v>
      </c>
      <c r="D60" s="2" t="s">
        <v>145</v>
      </c>
      <c r="E60" s="3" t="s">
        <v>94</v>
      </c>
    </row>
    <row r="61" spans="1:5" ht="24.95" customHeight="1">
      <c r="A61" s="3" t="s">
        <v>144</v>
      </c>
      <c r="B61" s="3" t="s">
        <v>7</v>
      </c>
      <c r="C61" s="25" t="str">
        <f>A61&amp;B61</f>
        <v>A1FZ4A</v>
      </c>
      <c r="D61" s="2" t="s">
        <v>146</v>
      </c>
      <c r="E61" s="1" t="s">
        <v>134</v>
      </c>
    </row>
    <row r="62" spans="1:5" ht="24.95" customHeight="1">
      <c r="A62" s="25" t="s">
        <v>147</v>
      </c>
      <c r="B62" s="25" t="s">
        <v>7</v>
      </c>
      <c r="C62" s="25" t="str">
        <f>A62&amp;B62</f>
        <v>A1FZBS9A</v>
      </c>
      <c r="D62" s="2" t="s">
        <v>148</v>
      </c>
      <c r="E62" s="1" t="s">
        <v>149</v>
      </c>
    </row>
    <row r="63" spans="1:5" ht="24.95" customHeight="1">
      <c r="A63" s="25" t="s">
        <v>150</v>
      </c>
      <c r="B63" s="25" t="s">
        <v>7</v>
      </c>
      <c r="C63" s="25" t="str">
        <f>A63&amp;B63</f>
        <v>A1FZFE9A</v>
      </c>
      <c r="D63" s="4" t="s">
        <v>151</v>
      </c>
      <c r="E63" s="3" t="s">
        <v>152</v>
      </c>
    </row>
    <row r="64" spans="1:5" ht="24.95" customHeight="1">
      <c r="A64" s="3" t="s">
        <v>153</v>
      </c>
      <c r="B64" s="3" t="s">
        <v>7</v>
      </c>
      <c r="C64" s="25" t="str">
        <f>A64&amp;B64</f>
        <v>A1FZVE9A</v>
      </c>
      <c r="D64" s="2" t="s">
        <v>154</v>
      </c>
      <c r="E64" s="1" t="s">
        <v>155</v>
      </c>
    </row>
    <row r="65" spans="1:7" ht="24.95" customHeight="1">
      <c r="A65" s="3" t="s">
        <v>156</v>
      </c>
      <c r="B65" s="3" t="s">
        <v>7</v>
      </c>
      <c r="C65" s="25" t="str">
        <f>A65&amp;B65</f>
        <v>A1GP1A</v>
      </c>
      <c r="D65" s="2" t="s">
        <v>157</v>
      </c>
      <c r="E65" s="24" t="s">
        <v>158</v>
      </c>
    </row>
    <row r="66" spans="1:7" ht="24.95" customHeight="1">
      <c r="A66" s="3" t="s">
        <v>156</v>
      </c>
      <c r="B66" s="3" t="s">
        <v>15</v>
      </c>
      <c r="C66" s="25" t="str">
        <f>A66&amp;B66</f>
        <v>A1GP1B</v>
      </c>
      <c r="D66" s="2" t="s">
        <v>157</v>
      </c>
      <c r="E66" s="24" t="s">
        <v>158</v>
      </c>
    </row>
    <row r="67" spans="1:7" ht="24.95" customHeight="1">
      <c r="A67" s="3" t="s">
        <v>159</v>
      </c>
      <c r="B67" s="3" t="s">
        <v>7</v>
      </c>
      <c r="C67" s="25" t="str">
        <f>A67&amp;B67</f>
        <v>A1GP2A</v>
      </c>
      <c r="D67" s="2" t="s">
        <v>160</v>
      </c>
      <c r="E67" s="24" t="s">
        <v>161</v>
      </c>
    </row>
    <row r="68" spans="1:7" ht="24.95" customHeight="1">
      <c r="A68" s="3" t="s">
        <v>159</v>
      </c>
      <c r="B68" s="3" t="s">
        <v>15</v>
      </c>
      <c r="C68" s="25" t="str">
        <f>A68&amp;B68</f>
        <v>A1GP2B</v>
      </c>
      <c r="D68" s="2" t="s">
        <v>160</v>
      </c>
      <c r="E68" s="24" t="s">
        <v>161</v>
      </c>
    </row>
    <row r="69" spans="1:7" ht="24.95" customHeight="1">
      <c r="A69" s="25" t="s">
        <v>162</v>
      </c>
      <c r="B69" s="25" t="s">
        <v>7</v>
      </c>
      <c r="C69" s="25" t="str">
        <f>A69&amp;B69</f>
        <v>A1IPNA</v>
      </c>
      <c r="D69" s="4" t="s">
        <v>163</v>
      </c>
      <c r="E69" s="3" t="s">
        <v>164</v>
      </c>
    </row>
    <row r="70" spans="1:7" ht="24.95" customHeight="1">
      <c r="A70" s="3" t="s">
        <v>162</v>
      </c>
      <c r="B70" s="3" t="s">
        <v>15</v>
      </c>
      <c r="C70" s="25" t="str">
        <f>A70&amp;B70</f>
        <v>A1IPNB</v>
      </c>
      <c r="D70" s="4" t="s">
        <v>133</v>
      </c>
      <c r="E70" s="3" t="s">
        <v>164</v>
      </c>
    </row>
    <row r="71" spans="1:7" ht="24.95" customHeight="1">
      <c r="A71" s="3" t="s">
        <v>162</v>
      </c>
      <c r="B71" s="3" t="s">
        <v>18</v>
      </c>
      <c r="C71" s="25" t="str">
        <f>A71&amp;B71</f>
        <v>A1IPNC</v>
      </c>
      <c r="D71" s="4" t="s">
        <v>163</v>
      </c>
      <c r="E71" s="1" t="s">
        <v>165</v>
      </c>
    </row>
    <row r="72" spans="1:7" ht="24.95" customHeight="1">
      <c r="A72" s="3" t="s">
        <v>162</v>
      </c>
      <c r="B72" s="3" t="s">
        <v>20</v>
      </c>
      <c r="C72" s="25" t="str">
        <f>A72&amp;B72</f>
        <v>A1IPND</v>
      </c>
      <c r="D72" s="4" t="s">
        <v>163</v>
      </c>
      <c r="E72" s="1" t="s">
        <v>166</v>
      </c>
    </row>
    <row r="73" spans="1:7" ht="24.95" customHeight="1">
      <c r="A73" s="3" t="s">
        <v>167</v>
      </c>
      <c r="B73" s="3" t="s">
        <v>7</v>
      </c>
      <c r="C73" s="25" t="str">
        <f>A73&amp;B73</f>
        <v>A1LOGA</v>
      </c>
      <c r="D73" s="4" t="s">
        <v>168</v>
      </c>
      <c r="E73" s="3" t="s">
        <v>169</v>
      </c>
    </row>
    <row r="74" spans="1:7" ht="24.95" customHeight="1">
      <c r="A74" s="3" t="s">
        <v>167</v>
      </c>
      <c r="B74" s="3" t="s">
        <v>15</v>
      </c>
      <c r="C74" s="25" t="str">
        <f>A74&amp;B74</f>
        <v>A1LOGB</v>
      </c>
      <c r="D74" s="4" t="s">
        <v>168</v>
      </c>
      <c r="E74" s="3" t="s">
        <v>169</v>
      </c>
    </row>
    <row r="75" spans="1:7" ht="24.95" customHeight="1">
      <c r="A75" s="3" t="s">
        <v>167</v>
      </c>
      <c r="B75" s="3" t="s">
        <v>18</v>
      </c>
      <c r="C75" s="25" t="str">
        <f>A75&amp;B75</f>
        <v>A1LOGC</v>
      </c>
      <c r="D75" s="4" t="s">
        <v>170</v>
      </c>
      <c r="E75" s="3" t="s">
        <v>169</v>
      </c>
    </row>
    <row r="76" spans="1:7" ht="24.95" customHeight="1">
      <c r="A76" s="3" t="s">
        <v>167</v>
      </c>
      <c r="B76" s="3" t="s">
        <v>20</v>
      </c>
      <c r="C76" s="25" t="str">
        <f>A76&amp;B76</f>
        <v>A1LOGD</v>
      </c>
      <c r="D76" s="4" t="s">
        <v>170</v>
      </c>
      <c r="E76" s="3" t="s">
        <v>169</v>
      </c>
    </row>
    <row r="77" spans="1:7" ht="24.95" customHeight="1">
      <c r="A77" s="25" t="s">
        <v>171</v>
      </c>
      <c r="B77" s="25" t="s">
        <v>7</v>
      </c>
      <c r="C77" s="25" t="str">
        <f>A77&amp;B77</f>
        <v>A1META</v>
      </c>
      <c r="D77" s="4" t="s">
        <v>172</v>
      </c>
      <c r="E77" s="3" t="s">
        <v>137</v>
      </c>
      <c r="G77" s="4"/>
    </row>
    <row r="78" spans="1:7" ht="24.95" customHeight="1">
      <c r="A78" s="25" t="s">
        <v>171</v>
      </c>
      <c r="B78" s="25" t="s">
        <v>15</v>
      </c>
      <c r="C78" s="25" t="str">
        <f>A78&amp;B78</f>
        <v>A1METB</v>
      </c>
      <c r="D78" s="4" t="s">
        <v>172</v>
      </c>
      <c r="E78" s="3" t="s">
        <v>173</v>
      </c>
    </row>
    <row r="79" spans="1:7" ht="24.95" customHeight="1">
      <c r="A79" s="25" t="s">
        <v>171</v>
      </c>
      <c r="B79" s="25" t="s">
        <v>18</v>
      </c>
      <c r="C79" s="25" t="str">
        <f>A79&amp;B79</f>
        <v>A1METC</v>
      </c>
      <c r="D79" s="4" t="s">
        <v>172</v>
      </c>
      <c r="E79" s="3" t="s">
        <v>173</v>
      </c>
    </row>
    <row r="80" spans="1:7" ht="24.95" customHeight="1">
      <c r="A80" s="25" t="s">
        <v>171</v>
      </c>
      <c r="B80" s="25" t="s">
        <v>20</v>
      </c>
      <c r="C80" s="25" t="str">
        <f>A80&amp;B80</f>
        <v>A1METD</v>
      </c>
      <c r="D80" s="4" t="s">
        <v>172</v>
      </c>
      <c r="E80" s="3" t="s">
        <v>113</v>
      </c>
    </row>
    <row r="81" spans="1:5" ht="24.95" customHeight="1">
      <c r="A81" s="3" t="s">
        <v>174</v>
      </c>
      <c r="B81" s="3" t="s">
        <v>7</v>
      </c>
      <c r="C81" s="25" t="str">
        <f>A81&amp;B81</f>
        <v>A1MK1A</v>
      </c>
      <c r="D81" s="4" t="s">
        <v>175</v>
      </c>
      <c r="E81" s="25" t="s">
        <v>176</v>
      </c>
    </row>
    <row r="82" spans="1:5" ht="24.95" customHeight="1">
      <c r="A82" s="3" t="s">
        <v>174</v>
      </c>
      <c r="B82" s="3" t="s">
        <v>15</v>
      </c>
      <c r="C82" s="25" t="str">
        <f>A82&amp;B82</f>
        <v>A1MK1B</v>
      </c>
      <c r="D82" s="4" t="s">
        <v>175</v>
      </c>
      <c r="E82" s="25" t="s">
        <v>176</v>
      </c>
    </row>
    <row r="83" spans="1:5" ht="24.95" customHeight="1">
      <c r="A83" s="25" t="s">
        <v>177</v>
      </c>
      <c r="B83" s="25" t="s">
        <v>7</v>
      </c>
      <c r="C83" s="25" t="str">
        <f>A83&amp;B83</f>
        <v>A1MK2A</v>
      </c>
      <c r="D83" s="4" t="s">
        <v>178</v>
      </c>
      <c r="E83" s="3" t="s">
        <v>179</v>
      </c>
    </row>
    <row r="84" spans="1:5" ht="24.95" customHeight="1">
      <c r="A84" s="3" t="s">
        <v>180</v>
      </c>
      <c r="B84" s="3" t="s">
        <v>7</v>
      </c>
      <c r="C84" s="25" t="str">
        <f>A84&amp;B84</f>
        <v>A1MK3A</v>
      </c>
      <c r="D84" s="4" t="s">
        <v>181</v>
      </c>
      <c r="E84" s="3" t="s">
        <v>182</v>
      </c>
    </row>
    <row r="85" spans="1:5" ht="24.95" customHeight="1">
      <c r="A85" s="3" t="s">
        <v>180</v>
      </c>
      <c r="B85" s="3" t="s">
        <v>15</v>
      </c>
      <c r="C85" s="25" t="str">
        <f>A85&amp;B85</f>
        <v>A1MK3B</v>
      </c>
      <c r="D85" s="4" t="s">
        <v>181</v>
      </c>
      <c r="E85" s="3" t="s">
        <v>182</v>
      </c>
    </row>
    <row r="86" spans="1:5" ht="24.95" customHeight="1">
      <c r="A86" s="3" t="s">
        <v>183</v>
      </c>
      <c r="B86" s="3" t="s">
        <v>7</v>
      </c>
      <c r="C86" s="25" t="str">
        <f>A86&amp;B86</f>
        <v>A1MK4A</v>
      </c>
      <c r="D86" s="4" t="s">
        <v>184</v>
      </c>
      <c r="E86" s="3" t="s">
        <v>37</v>
      </c>
    </row>
    <row r="87" spans="1:5" ht="24.95" customHeight="1">
      <c r="A87" s="3" t="s">
        <v>185</v>
      </c>
      <c r="B87" s="3" t="s">
        <v>7</v>
      </c>
      <c r="C87" s="25" t="str">
        <f>A87&amp;B87</f>
        <v>A1MKGM9A</v>
      </c>
      <c r="D87" s="2" t="s">
        <v>186</v>
      </c>
      <c r="E87" s="24" t="s">
        <v>187</v>
      </c>
    </row>
    <row r="88" spans="1:5" ht="24.95" customHeight="1">
      <c r="A88" s="3" t="s">
        <v>188</v>
      </c>
      <c r="B88" s="3" t="s">
        <v>7</v>
      </c>
      <c r="C88" s="25" t="str">
        <f>A88&amp;B88</f>
        <v>A1MKGV9A</v>
      </c>
      <c r="D88" s="2" t="s">
        <v>189</v>
      </c>
      <c r="E88" s="24" t="s">
        <v>190</v>
      </c>
    </row>
    <row r="89" spans="1:5" ht="24.95" customHeight="1">
      <c r="A89" s="3" t="s">
        <v>191</v>
      </c>
      <c r="B89" s="3" t="s">
        <v>7</v>
      </c>
      <c r="C89" s="25" t="str">
        <f>A89&amp;B89</f>
        <v>A1MKLP9A</v>
      </c>
      <c r="D89" s="2" t="s">
        <v>186</v>
      </c>
      <c r="E89" s="24" t="s">
        <v>192</v>
      </c>
    </row>
    <row r="90" spans="1:5" ht="24.95" customHeight="1">
      <c r="A90" s="3" t="s">
        <v>193</v>
      </c>
      <c r="B90" s="3" t="s">
        <v>7</v>
      </c>
      <c r="C90" s="25" t="str">
        <f>A90&amp;B90</f>
        <v>A1MKMD9A</v>
      </c>
      <c r="D90" s="2" t="s">
        <v>194</v>
      </c>
      <c r="E90" s="24" t="s">
        <v>195</v>
      </c>
    </row>
    <row r="91" spans="1:5" ht="24.95" customHeight="1">
      <c r="A91" s="3" t="s">
        <v>196</v>
      </c>
      <c r="B91" s="3" t="s">
        <v>7</v>
      </c>
      <c r="C91" s="25" t="str">
        <f>A91&amp;B91</f>
        <v>A1MKRM9A</v>
      </c>
      <c r="D91" s="2" t="s">
        <v>197</v>
      </c>
      <c r="E91" s="1" t="s">
        <v>198</v>
      </c>
    </row>
    <row r="92" spans="1:5" ht="24.95" customHeight="1">
      <c r="A92" s="25" t="s">
        <v>199</v>
      </c>
      <c r="B92" s="25" t="s">
        <v>7</v>
      </c>
      <c r="C92" s="25" t="str">
        <f>A92&amp;B92</f>
        <v>A1MKSM9A</v>
      </c>
      <c r="D92" s="4" t="s">
        <v>200</v>
      </c>
      <c r="E92" s="3" t="s">
        <v>201</v>
      </c>
    </row>
    <row r="93" spans="1:5" ht="24.95" customHeight="1">
      <c r="A93" s="3" t="s">
        <v>202</v>
      </c>
      <c r="B93" s="3" t="s">
        <v>7</v>
      </c>
      <c r="C93" s="25" t="str">
        <f>A93&amp;B93</f>
        <v>A1MT1A</v>
      </c>
      <c r="D93" s="4" t="s">
        <v>203</v>
      </c>
      <c r="E93" s="3" t="s">
        <v>204</v>
      </c>
    </row>
    <row r="94" spans="1:5" ht="24.95" customHeight="1">
      <c r="A94" s="3" t="s">
        <v>202</v>
      </c>
      <c r="B94" s="3" t="s">
        <v>15</v>
      </c>
      <c r="C94" s="25" t="str">
        <f>A94&amp;B94</f>
        <v>A1MT1B</v>
      </c>
      <c r="D94" s="4" t="s">
        <v>203</v>
      </c>
      <c r="E94" s="3" t="s">
        <v>205</v>
      </c>
    </row>
    <row r="95" spans="1:5" ht="24.95" customHeight="1">
      <c r="A95" s="3" t="s">
        <v>202</v>
      </c>
      <c r="B95" s="3" t="s">
        <v>18</v>
      </c>
      <c r="C95" s="25" t="str">
        <f>A95&amp;B95</f>
        <v>A1MT1C</v>
      </c>
      <c r="D95" s="4" t="s">
        <v>170</v>
      </c>
      <c r="E95" s="3" t="s">
        <v>205</v>
      </c>
    </row>
    <row r="96" spans="1:5" ht="24.95" customHeight="1">
      <c r="A96" s="3" t="s">
        <v>202</v>
      </c>
      <c r="B96" s="3" t="s">
        <v>20</v>
      </c>
      <c r="C96" s="25" t="str">
        <f>A96&amp;B96</f>
        <v>A1MT1D</v>
      </c>
      <c r="D96" s="4" t="s">
        <v>170</v>
      </c>
      <c r="E96" s="3" t="s">
        <v>206</v>
      </c>
    </row>
    <row r="97" spans="1:5" ht="24.95" customHeight="1">
      <c r="A97" s="3" t="s">
        <v>207</v>
      </c>
      <c r="B97" s="3" t="s">
        <v>7</v>
      </c>
      <c r="C97" s="25" t="str">
        <f>A97&amp;B97</f>
        <v>A1MT2A</v>
      </c>
      <c r="D97" s="4" t="s">
        <v>208</v>
      </c>
      <c r="E97" s="3" t="s">
        <v>206</v>
      </c>
    </row>
    <row r="98" spans="1:5" ht="24.95" customHeight="1">
      <c r="A98" s="3" t="s">
        <v>207</v>
      </c>
      <c r="B98" s="3" t="s">
        <v>15</v>
      </c>
      <c r="C98" s="25" t="str">
        <f>A98&amp;B98</f>
        <v>A1MT2B</v>
      </c>
      <c r="D98" s="4" t="s">
        <v>208</v>
      </c>
      <c r="E98" s="3" t="s">
        <v>209</v>
      </c>
    </row>
    <row r="99" spans="1:5" ht="24.95" customHeight="1">
      <c r="A99" s="3" t="s">
        <v>210</v>
      </c>
      <c r="B99" s="3" t="s">
        <v>7</v>
      </c>
      <c r="C99" s="25" t="str">
        <f>A99&amp;B99</f>
        <v>A1MT3A</v>
      </c>
      <c r="D99" s="4" t="s">
        <v>211</v>
      </c>
      <c r="E99" s="3" t="s">
        <v>209</v>
      </c>
    </row>
    <row r="100" spans="1:5" ht="24.95" customHeight="1">
      <c r="A100" s="3" t="s">
        <v>210</v>
      </c>
      <c r="B100" s="3" t="s">
        <v>15</v>
      </c>
      <c r="C100" s="25" t="str">
        <f>A100&amp;B100</f>
        <v>A1MT3B</v>
      </c>
      <c r="D100" s="4" t="s">
        <v>211</v>
      </c>
      <c r="E100" s="3" t="s">
        <v>137</v>
      </c>
    </row>
    <row r="101" spans="1:5" ht="24.95" customHeight="1">
      <c r="A101" s="3" t="s">
        <v>212</v>
      </c>
      <c r="B101" s="3" t="s">
        <v>7</v>
      </c>
      <c r="C101" s="25" t="str">
        <f>A101&amp;B101</f>
        <v>A1OP1A</v>
      </c>
      <c r="D101" s="2" t="s">
        <v>213</v>
      </c>
      <c r="E101" s="24" t="s">
        <v>214</v>
      </c>
    </row>
    <row r="102" spans="1:5" ht="24.95" customHeight="1">
      <c r="A102" s="3" t="s">
        <v>212</v>
      </c>
      <c r="B102" s="3" t="s">
        <v>15</v>
      </c>
      <c r="C102" s="25" t="str">
        <f>A102&amp;B102</f>
        <v>A1OP1B</v>
      </c>
      <c r="D102" s="2" t="s">
        <v>213</v>
      </c>
      <c r="E102" s="24" t="s">
        <v>214</v>
      </c>
    </row>
    <row r="103" spans="1:5" ht="24.95" customHeight="1">
      <c r="A103" s="3" t="s">
        <v>215</v>
      </c>
      <c r="B103" s="3" t="s">
        <v>7</v>
      </c>
      <c r="C103" s="25" t="str">
        <f>A103&amp;B103</f>
        <v>A1OP2A</v>
      </c>
      <c r="D103" s="2" t="s">
        <v>211</v>
      </c>
      <c r="E103" s="24" t="s">
        <v>216</v>
      </c>
    </row>
    <row r="104" spans="1:5" ht="24.95" customHeight="1">
      <c r="A104" s="3" t="s">
        <v>217</v>
      </c>
      <c r="B104" s="3" t="s">
        <v>7</v>
      </c>
      <c r="C104" s="25" t="str">
        <f>A104&amp;B104</f>
        <v>A1PI1A</v>
      </c>
      <c r="D104" s="2" t="s">
        <v>218</v>
      </c>
      <c r="E104" s="24" t="s">
        <v>219</v>
      </c>
    </row>
    <row r="105" spans="1:5" ht="24.95" customHeight="1">
      <c r="A105" s="25" t="s">
        <v>220</v>
      </c>
      <c r="B105" s="25" t="s">
        <v>7</v>
      </c>
      <c r="C105" s="25" t="str">
        <f>A105&amp;B105</f>
        <v>A1PI2A</v>
      </c>
      <c r="D105" s="4" t="s">
        <v>221</v>
      </c>
      <c r="E105" s="3" t="s">
        <v>222</v>
      </c>
    </row>
    <row r="106" spans="1:5" ht="24.95" customHeight="1">
      <c r="A106" s="3" t="s">
        <v>223</v>
      </c>
      <c r="B106" s="3" t="s">
        <v>7</v>
      </c>
      <c r="C106" s="25" t="str">
        <f>A106&amp;B106</f>
        <v>A1PRMA</v>
      </c>
      <c r="D106" s="4" t="s">
        <v>224</v>
      </c>
      <c r="E106" s="3" t="s">
        <v>225</v>
      </c>
    </row>
    <row r="107" spans="1:5" ht="24.95" customHeight="1">
      <c r="A107" s="25" t="s">
        <v>226</v>
      </c>
      <c r="B107" s="25" t="s">
        <v>7</v>
      </c>
      <c r="C107" s="25" t="str">
        <f>A107&amp;B107</f>
        <v>A1ST1A</v>
      </c>
      <c r="D107" s="4" t="s">
        <v>227</v>
      </c>
      <c r="E107" s="3" t="s">
        <v>228</v>
      </c>
    </row>
    <row r="108" spans="1:5" ht="24.95" customHeight="1">
      <c r="A108" s="25" t="s">
        <v>226</v>
      </c>
      <c r="B108" s="25" t="s">
        <v>15</v>
      </c>
      <c r="C108" s="25" t="str">
        <f>A108&amp;B108</f>
        <v>A1ST1B</v>
      </c>
      <c r="D108" s="4" t="s">
        <v>227</v>
      </c>
      <c r="E108" s="3" t="s">
        <v>228</v>
      </c>
    </row>
    <row r="109" spans="1:5" ht="24.95" customHeight="1">
      <c r="A109" s="3" t="s">
        <v>229</v>
      </c>
      <c r="B109" s="3" t="s">
        <v>7</v>
      </c>
      <c r="C109" s="25" t="str">
        <f>A109&amp;B109</f>
        <v>A1ST2A</v>
      </c>
      <c r="D109" s="4" t="s">
        <v>230</v>
      </c>
      <c r="E109" s="3" t="s">
        <v>231</v>
      </c>
    </row>
    <row r="110" spans="1:5" ht="24.95" customHeight="1">
      <c r="A110" s="3" t="s">
        <v>229</v>
      </c>
      <c r="B110" s="3" t="s">
        <v>15</v>
      </c>
      <c r="C110" s="25" t="str">
        <f>A110&amp;B110</f>
        <v>A1ST2B</v>
      </c>
      <c r="D110" s="4" t="s">
        <v>230</v>
      </c>
      <c r="E110" s="3" t="s">
        <v>231</v>
      </c>
    </row>
    <row r="111" spans="1:5" ht="24.95" customHeight="1">
      <c r="A111" s="3" t="s">
        <v>232</v>
      </c>
      <c r="B111" s="3" t="s">
        <v>7</v>
      </c>
      <c r="C111" s="25" t="str">
        <f>A111&amp;B111</f>
        <v>AF1A</v>
      </c>
      <c r="D111" s="2" t="s">
        <v>197</v>
      </c>
      <c r="E111" s="1" t="s">
        <v>109</v>
      </c>
    </row>
    <row r="112" spans="1:5" ht="24.95" customHeight="1">
      <c r="A112" s="3" t="s">
        <v>233</v>
      </c>
      <c r="B112" s="3" t="s">
        <v>7</v>
      </c>
      <c r="C112" s="25" t="str">
        <f>A112&amp;B112</f>
        <v>AF2A</v>
      </c>
      <c r="D112" s="2" t="s">
        <v>197</v>
      </c>
      <c r="E112" s="1" t="s">
        <v>109</v>
      </c>
    </row>
    <row r="113" spans="1:5" ht="24.95" customHeight="1">
      <c r="A113" s="3" t="s">
        <v>234</v>
      </c>
      <c r="B113" s="3" t="s">
        <v>7</v>
      </c>
      <c r="C113" s="25" t="str">
        <f>A113&amp;B113</f>
        <v>CCDA03005A</v>
      </c>
      <c r="D113" s="4" t="s">
        <v>235</v>
      </c>
      <c r="E113" s="3" t="s">
        <v>37</v>
      </c>
    </row>
    <row r="114" spans="1:5" ht="24.95" customHeight="1">
      <c r="A114" s="3" t="s">
        <v>236</v>
      </c>
      <c r="B114" s="3" t="s">
        <v>7</v>
      </c>
      <c r="C114" s="25" t="str">
        <f>A114&amp;B114</f>
        <v>CCDA03008A</v>
      </c>
      <c r="D114" s="2" t="s">
        <v>237</v>
      </c>
      <c r="E114" s="1" t="s">
        <v>238</v>
      </c>
    </row>
    <row r="115" spans="1:5" ht="24.95" customHeight="1">
      <c r="A115" s="3" t="s">
        <v>236</v>
      </c>
      <c r="B115" s="3" t="s">
        <v>15</v>
      </c>
      <c r="C115" s="25" t="str">
        <f t="shared" ref="C115:C116" si="0">A115&amp;B115</f>
        <v>CCDA03008B</v>
      </c>
      <c r="D115" s="2" t="s">
        <v>237</v>
      </c>
      <c r="E115" s="1" t="s">
        <v>238</v>
      </c>
    </row>
    <row r="116" spans="1:5" ht="24.95" customHeight="1">
      <c r="A116" s="3" t="s">
        <v>236</v>
      </c>
      <c r="B116" s="3" t="s">
        <v>18</v>
      </c>
      <c r="C116" s="25" t="str">
        <f t="shared" si="0"/>
        <v>CCDA03008C</v>
      </c>
      <c r="D116" s="2" t="s">
        <v>237</v>
      </c>
      <c r="E116" s="1" t="s">
        <v>238</v>
      </c>
    </row>
    <row r="117" spans="1:5" ht="24.95" customHeight="1">
      <c r="A117" s="3" t="s">
        <v>239</v>
      </c>
      <c r="B117" s="3" t="s">
        <v>7</v>
      </c>
      <c r="C117" s="25" t="str">
        <f>A117&amp;B117</f>
        <v>CCDA03009A</v>
      </c>
      <c r="D117" s="2" t="s">
        <v>240</v>
      </c>
      <c r="E117" s="1" t="s">
        <v>241</v>
      </c>
    </row>
    <row r="118" spans="1:5" ht="24.95" customHeight="1">
      <c r="A118" s="3" t="s">
        <v>242</v>
      </c>
      <c r="B118" s="3" t="s">
        <v>7</v>
      </c>
      <c r="C118" s="25" t="str">
        <f>A118&amp;B118</f>
        <v>CF3A</v>
      </c>
      <c r="D118" s="2" t="s">
        <v>85</v>
      </c>
      <c r="E118" s="1" t="s">
        <v>243</v>
      </c>
    </row>
    <row r="119" spans="1:5" ht="24.95" customHeight="1">
      <c r="A119" s="3" t="s">
        <v>244</v>
      </c>
      <c r="B119" s="3" t="s">
        <v>7</v>
      </c>
      <c r="C119" s="25" t="str">
        <f>A119&amp;B119</f>
        <v>CF4A</v>
      </c>
      <c r="D119" s="2" t="s">
        <v>88</v>
      </c>
      <c r="E119" s="1" t="s">
        <v>243</v>
      </c>
    </row>
    <row r="120" spans="1:5" ht="24.95" customHeight="1">
      <c r="A120" s="3" t="s">
        <v>245</v>
      </c>
      <c r="B120" s="25" t="s">
        <v>7</v>
      </c>
      <c r="C120" s="25" t="str">
        <f>A120&amp;B120</f>
        <v>CF5A</v>
      </c>
      <c r="D120" s="2" t="s">
        <v>246</v>
      </c>
      <c r="E120" s="1" t="s">
        <v>92</v>
      </c>
    </row>
    <row r="121" spans="1:5" ht="24.95" customHeight="1">
      <c r="A121" s="3" t="s">
        <v>247</v>
      </c>
      <c r="B121" s="3" t="s">
        <v>7</v>
      </c>
      <c r="C121" s="25" t="str">
        <f>A121&amp;B121</f>
        <v>CIRA</v>
      </c>
      <c r="D121" s="2" t="s">
        <v>91</v>
      </c>
      <c r="E121" s="1" t="s">
        <v>92</v>
      </c>
    </row>
    <row r="122" spans="1:5" ht="24.95" customHeight="1">
      <c r="A122" s="3" t="s">
        <v>248</v>
      </c>
      <c r="B122" s="3" t="s">
        <v>7</v>
      </c>
      <c r="C122" s="25" t="str">
        <f>A122&amp;B122</f>
        <v>CONT03010A</v>
      </c>
      <c r="D122" s="2" t="s">
        <v>249</v>
      </c>
      <c r="E122" s="1" t="s">
        <v>250</v>
      </c>
    </row>
    <row r="123" spans="1:5" ht="24.95" customHeight="1">
      <c r="A123" s="3" t="s">
        <v>251</v>
      </c>
      <c r="B123" s="25" t="s">
        <v>7</v>
      </c>
      <c r="C123" s="25" t="str">
        <f>A123&amp;B123</f>
        <v>CSTA</v>
      </c>
      <c r="D123" s="2" t="s">
        <v>75</v>
      </c>
      <c r="E123" s="1" t="s">
        <v>252</v>
      </c>
    </row>
    <row r="124" spans="1:5" ht="24.95" customHeight="1">
      <c r="A124" s="3" t="s">
        <v>253</v>
      </c>
      <c r="B124" s="3" t="s">
        <v>7</v>
      </c>
      <c r="C124" s="25" t="str">
        <f>A124&amp;B124</f>
        <v>DLAA</v>
      </c>
      <c r="D124" s="4" t="s">
        <v>96</v>
      </c>
      <c r="E124" s="3" t="s">
        <v>254</v>
      </c>
    </row>
    <row r="125" spans="1:5" ht="24.95" customHeight="1">
      <c r="A125" s="3" t="s">
        <v>255</v>
      </c>
      <c r="B125" s="3" t="s">
        <v>7</v>
      </c>
      <c r="C125" s="25" t="str">
        <f>A125&amp;B125</f>
        <v>DSOA</v>
      </c>
      <c r="D125" s="4" t="s">
        <v>256</v>
      </c>
      <c r="E125" s="3" t="s">
        <v>257</v>
      </c>
    </row>
    <row r="126" spans="1:5" ht="24.95" customHeight="1">
      <c r="A126" s="3" t="s">
        <v>255</v>
      </c>
      <c r="B126" s="3" t="s">
        <v>15</v>
      </c>
      <c r="C126" s="25" t="str">
        <f>A126&amp;B126</f>
        <v>DSOB</v>
      </c>
      <c r="D126" s="4" t="s">
        <v>256</v>
      </c>
      <c r="E126" s="3" t="s">
        <v>257</v>
      </c>
    </row>
    <row r="127" spans="1:5" ht="24.95" customHeight="1">
      <c r="A127" s="3" t="s">
        <v>255</v>
      </c>
      <c r="B127" s="3" t="s">
        <v>18</v>
      </c>
      <c r="C127" s="25" t="str">
        <f>A127&amp;B127</f>
        <v>DSOC</v>
      </c>
      <c r="D127" s="4" t="s">
        <v>258</v>
      </c>
      <c r="E127" s="3" t="s">
        <v>257</v>
      </c>
    </row>
    <row r="128" spans="1:5" ht="24.95" customHeight="1">
      <c r="A128" s="3" t="s">
        <v>259</v>
      </c>
      <c r="B128" s="3" t="s">
        <v>7</v>
      </c>
      <c r="C128" s="25" t="str">
        <f>A128&amp;B128</f>
        <v>DT1A</v>
      </c>
      <c r="D128" s="2" t="s">
        <v>260</v>
      </c>
      <c r="E128" s="1" t="s">
        <v>134</v>
      </c>
    </row>
    <row r="129" spans="1:5" ht="24.95" customHeight="1">
      <c r="A129" s="3" t="s">
        <v>261</v>
      </c>
      <c r="B129" s="3" t="s">
        <v>7</v>
      </c>
      <c r="C129" s="25" t="str">
        <f>A129&amp;B129</f>
        <v>DT2A</v>
      </c>
      <c r="D129" s="2" t="s">
        <v>262</v>
      </c>
      <c r="E129" s="1" t="s">
        <v>164</v>
      </c>
    </row>
    <row r="130" spans="1:5" ht="24.95" customHeight="1">
      <c r="A130" s="3" t="s">
        <v>263</v>
      </c>
      <c r="B130" s="3" t="s">
        <v>7</v>
      </c>
      <c r="C130" s="25" t="str">
        <f>A130&amp;B130</f>
        <v>DT3A</v>
      </c>
      <c r="D130" s="2" t="s">
        <v>262</v>
      </c>
      <c r="E130" s="1" t="s">
        <v>205</v>
      </c>
    </row>
    <row r="131" spans="1:5" ht="24.95" customHeight="1">
      <c r="A131" s="3" t="s">
        <v>264</v>
      </c>
      <c r="B131" s="3" t="s">
        <v>7</v>
      </c>
      <c r="C131" s="25" t="str">
        <f>A131&amp;B131</f>
        <v>E2ACE1A</v>
      </c>
      <c r="D131" s="2" t="s">
        <v>265</v>
      </c>
      <c r="E131" s="1" t="s">
        <v>266</v>
      </c>
    </row>
    <row r="132" spans="1:5" ht="24.95" customHeight="1">
      <c r="A132" s="3" t="s">
        <v>267</v>
      </c>
      <c r="B132" s="3" t="s">
        <v>15</v>
      </c>
      <c r="C132" s="25" t="str">
        <f>A132&amp;B132</f>
        <v>E2CAL1B</v>
      </c>
      <c r="D132" s="4" t="s">
        <v>268</v>
      </c>
      <c r="E132" s="3" t="s">
        <v>269</v>
      </c>
    </row>
    <row r="133" spans="1:5" ht="24.95" customHeight="1">
      <c r="A133" s="3" t="s">
        <v>267</v>
      </c>
      <c r="B133" s="3" t="s">
        <v>18</v>
      </c>
      <c r="C133" s="25" t="str">
        <f>A133&amp;B133</f>
        <v>E2CAL1C</v>
      </c>
      <c r="D133" s="2" t="s">
        <v>270</v>
      </c>
      <c r="E133" s="1" t="s">
        <v>271</v>
      </c>
    </row>
    <row r="134" spans="1:5" ht="24.95" customHeight="1">
      <c r="A134" s="3" t="s">
        <v>272</v>
      </c>
      <c r="B134" s="3" t="s">
        <v>7</v>
      </c>
      <c r="C134" s="25" t="str">
        <f>A134&amp;B134</f>
        <v>E2DEO1A</v>
      </c>
      <c r="D134" s="2" t="s">
        <v>273</v>
      </c>
      <c r="E134" s="1" t="s">
        <v>274</v>
      </c>
    </row>
    <row r="135" spans="1:5" ht="24.95" customHeight="1">
      <c r="A135" s="3" t="s">
        <v>272</v>
      </c>
      <c r="B135" s="3" t="s">
        <v>15</v>
      </c>
      <c r="C135" s="25" t="str">
        <f>A135&amp;B135</f>
        <v>E2DEO1B</v>
      </c>
      <c r="D135" s="2" t="s">
        <v>275</v>
      </c>
      <c r="E135" s="1" t="s">
        <v>276</v>
      </c>
    </row>
    <row r="136" spans="1:5" ht="24.95" customHeight="1">
      <c r="A136" s="3" t="s">
        <v>277</v>
      </c>
      <c r="B136" s="3" t="s">
        <v>7</v>
      </c>
      <c r="C136" s="25" t="str">
        <f>A136&amp;B136</f>
        <v>ESTA03004A</v>
      </c>
      <c r="D136" s="4" t="s">
        <v>275</v>
      </c>
      <c r="E136" s="1" t="s">
        <v>278</v>
      </c>
    </row>
    <row r="137" spans="1:5" ht="24.95" customHeight="1">
      <c r="A137" s="3" t="s">
        <v>277</v>
      </c>
      <c r="B137" s="3" t="s">
        <v>15</v>
      </c>
      <c r="C137" s="25" t="str">
        <f>A137&amp;B137</f>
        <v>ESTA03004B</v>
      </c>
      <c r="D137" s="4" t="s">
        <v>275</v>
      </c>
      <c r="E137" s="1" t="s">
        <v>278</v>
      </c>
    </row>
    <row r="138" spans="1:5" ht="24.95" customHeight="1">
      <c r="A138" s="3" t="s">
        <v>279</v>
      </c>
      <c r="B138" s="3" t="s">
        <v>7</v>
      </c>
      <c r="C138" s="25" t="str">
        <f>A138&amp;B138</f>
        <v>E2GPO1A</v>
      </c>
      <c r="D138" s="2" t="s">
        <v>280</v>
      </c>
      <c r="E138" s="1" t="s">
        <v>271</v>
      </c>
    </row>
    <row r="139" spans="1:5" ht="24.95" customHeight="1">
      <c r="A139" s="3" t="s">
        <v>281</v>
      </c>
      <c r="B139" s="3" t="s">
        <v>7</v>
      </c>
      <c r="C139" s="25" t="str">
        <f>A139&amp;B139</f>
        <v>E2HPE1A</v>
      </c>
      <c r="D139" s="2" t="s">
        <v>282</v>
      </c>
      <c r="E139" s="1" t="s">
        <v>283</v>
      </c>
    </row>
    <row r="140" spans="1:5" ht="24.95" customHeight="1">
      <c r="A140" s="3" t="s">
        <v>284</v>
      </c>
      <c r="B140" s="3" t="s">
        <v>7</v>
      </c>
      <c r="C140" s="25" t="str">
        <f>A140&amp;B140</f>
        <v>E2ICD9A</v>
      </c>
      <c r="D140" s="2" t="s">
        <v>265</v>
      </c>
      <c r="E140" s="1" t="s">
        <v>285</v>
      </c>
    </row>
    <row r="141" spans="1:5" ht="24.95" customHeight="1">
      <c r="A141" s="3" t="s">
        <v>286</v>
      </c>
      <c r="B141" s="3" t="s">
        <v>7</v>
      </c>
      <c r="C141" s="25" t="str">
        <f>A141&amp;B141</f>
        <v>E2INF1A</v>
      </c>
      <c r="D141" s="2" t="s">
        <v>235</v>
      </c>
      <c r="E141" s="1" t="s">
        <v>287</v>
      </c>
    </row>
    <row r="142" spans="1:5" ht="24.95" customHeight="1">
      <c r="A142" s="3" t="s">
        <v>286</v>
      </c>
      <c r="B142" s="3" t="s">
        <v>15</v>
      </c>
      <c r="C142" s="25" t="str">
        <f>A142&amp;B142</f>
        <v>E2INF1B</v>
      </c>
      <c r="D142" s="2" t="s">
        <v>288</v>
      </c>
      <c r="E142" s="1" t="s">
        <v>169</v>
      </c>
    </row>
    <row r="143" spans="1:5" ht="24.95" customHeight="1">
      <c r="A143" s="3" t="s">
        <v>289</v>
      </c>
      <c r="B143" s="3" t="s">
        <v>7</v>
      </c>
      <c r="C143" s="25" t="str">
        <f>A143&amp;B143</f>
        <v>E2MIE1A</v>
      </c>
      <c r="D143" s="4" t="s">
        <v>290</v>
      </c>
      <c r="E143" s="1" t="s">
        <v>291</v>
      </c>
    </row>
    <row r="144" spans="1:5" ht="24.95" customHeight="1">
      <c r="A144" s="3" t="s">
        <v>292</v>
      </c>
      <c r="B144" s="3" t="s">
        <v>7</v>
      </c>
      <c r="C144" s="25" t="str">
        <f>A144&amp;B144</f>
        <v>E2MIF9A</v>
      </c>
      <c r="D144" s="2" t="s">
        <v>293</v>
      </c>
      <c r="E144" s="1" t="s">
        <v>294</v>
      </c>
    </row>
    <row r="145" spans="1:5" ht="24.95" customHeight="1">
      <c r="A145" s="3" t="s">
        <v>295</v>
      </c>
      <c r="B145" s="3" t="s">
        <v>7</v>
      </c>
      <c r="C145" s="25" t="str">
        <f>A145&amp;B145</f>
        <v>E2PMA1A</v>
      </c>
      <c r="D145" s="2" t="s">
        <v>296</v>
      </c>
      <c r="E145" s="1" t="s">
        <v>297</v>
      </c>
    </row>
    <row r="146" spans="1:5" ht="24.95" customHeight="1">
      <c r="A146" s="3" t="s">
        <v>298</v>
      </c>
      <c r="B146" s="3" t="s">
        <v>7</v>
      </c>
      <c r="C146" s="25" t="str">
        <f>A146&amp;B146</f>
        <v>E2RFI1A</v>
      </c>
      <c r="D146" s="2" t="s">
        <v>273</v>
      </c>
      <c r="E146" s="1" t="s">
        <v>299</v>
      </c>
    </row>
    <row r="147" spans="1:5" ht="24.95" customHeight="1">
      <c r="A147" s="3" t="s">
        <v>300</v>
      </c>
      <c r="B147" s="3" t="s">
        <v>7</v>
      </c>
      <c r="C147" s="25" t="str">
        <f>A147&amp;B147</f>
        <v>INVE03016A</v>
      </c>
      <c r="D147" s="2" t="s">
        <v>301</v>
      </c>
      <c r="E147" s="3" t="s">
        <v>302</v>
      </c>
    </row>
    <row r="148" spans="1:5" ht="24.95" customHeight="1">
      <c r="A148" s="3" t="s">
        <v>303</v>
      </c>
      <c r="B148" s="3" t="s">
        <v>7</v>
      </c>
      <c r="C148" s="25" t="str">
        <f>A148&amp;B148</f>
        <v>E2TIE1A</v>
      </c>
      <c r="D148" s="2" t="s">
        <v>304</v>
      </c>
      <c r="E148" s="1" t="s">
        <v>305</v>
      </c>
    </row>
    <row r="149" spans="1:5" ht="24.95" customHeight="1">
      <c r="A149" s="3" t="s">
        <v>306</v>
      </c>
      <c r="B149" s="3" t="s">
        <v>7</v>
      </c>
      <c r="C149" s="25" t="str">
        <f>A149&amp;B149</f>
        <v>ESTA03005A</v>
      </c>
      <c r="D149" s="2" t="s">
        <v>240</v>
      </c>
      <c r="E149" s="1" t="s">
        <v>307</v>
      </c>
    </row>
    <row r="150" spans="1:5" ht="24.95" customHeight="1">
      <c r="A150" s="3" t="s">
        <v>308</v>
      </c>
      <c r="B150" s="3" t="s">
        <v>7</v>
      </c>
      <c r="C150" s="25" t="str">
        <f>A150&amp;B150</f>
        <v>ESTA03006A</v>
      </c>
      <c r="D150" s="2" t="s">
        <v>237</v>
      </c>
      <c r="E150" s="1" t="s">
        <v>309</v>
      </c>
    </row>
    <row r="151" spans="1:5" ht="24.95" customHeight="1">
      <c r="A151" s="3" t="s">
        <v>310</v>
      </c>
      <c r="B151" s="3" t="s">
        <v>7</v>
      </c>
      <c r="C151" s="25" t="str">
        <f>A151&amp;B151</f>
        <v>ESTA03007A</v>
      </c>
      <c r="D151" s="2" t="s">
        <v>311</v>
      </c>
      <c r="E151" s="1" t="s">
        <v>312</v>
      </c>
    </row>
    <row r="152" spans="1:5" ht="24.95" customHeight="1">
      <c r="A152" s="3" t="s">
        <v>313</v>
      </c>
      <c r="B152" s="3" t="s">
        <v>7</v>
      </c>
      <c r="C152" s="25" t="str">
        <f>A152&amp;B152</f>
        <v>ESTA03008A</v>
      </c>
      <c r="D152" s="2" t="s">
        <v>265</v>
      </c>
      <c r="E152" s="1" t="s">
        <v>314</v>
      </c>
    </row>
    <row r="153" spans="1:5" ht="24.95" customHeight="1">
      <c r="A153" s="25" t="s">
        <v>315</v>
      </c>
      <c r="B153" s="25" t="s">
        <v>7</v>
      </c>
      <c r="C153" s="25" t="str">
        <f>A153&amp;B153</f>
        <v>ETCA</v>
      </c>
      <c r="D153" s="4" t="s">
        <v>316</v>
      </c>
      <c r="E153" s="3" t="s">
        <v>317</v>
      </c>
    </row>
    <row r="154" spans="1:5" ht="24.95" customHeight="1">
      <c r="A154" s="25" t="s">
        <v>315</v>
      </c>
      <c r="B154" s="25" t="s">
        <v>15</v>
      </c>
      <c r="C154" s="25" t="str">
        <f>A154&amp;B154</f>
        <v>ETCB</v>
      </c>
      <c r="D154" s="2" t="s">
        <v>318</v>
      </c>
      <c r="E154" s="1" t="s">
        <v>317</v>
      </c>
    </row>
    <row r="155" spans="1:5" ht="24.95" customHeight="1">
      <c r="A155" s="25" t="s">
        <v>315</v>
      </c>
      <c r="B155" s="25" t="s">
        <v>18</v>
      </c>
      <c r="C155" s="25" t="str">
        <f>A155&amp;B155</f>
        <v>ETCC</v>
      </c>
      <c r="D155" s="2" t="s">
        <v>319</v>
      </c>
      <c r="E155" s="1" t="s">
        <v>317</v>
      </c>
    </row>
    <row r="156" spans="1:5" ht="24.95" customHeight="1">
      <c r="A156" s="3" t="s">
        <v>320</v>
      </c>
      <c r="B156" s="3" t="s">
        <v>7</v>
      </c>
      <c r="C156" s="25" t="str">
        <f>A156&amp;B156</f>
        <v>FINZ03030A</v>
      </c>
      <c r="D156" s="2" t="s">
        <v>321</v>
      </c>
      <c r="E156" s="1" t="s">
        <v>322</v>
      </c>
    </row>
    <row r="157" spans="1:5" ht="24.95" customHeight="1">
      <c r="A157" s="3" t="s">
        <v>323</v>
      </c>
      <c r="B157" s="3" t="s">
        <v>7</v>
      </c>
      <c r="C157" s="25" t="str">
        <f>A157&amp;B157</f>
        <v>FINZ03032A</v>
      </c>
      <c r="D157" s="2" t="s">
        <v>145</v>
      </c>
      <c r="E157" s="1" t="s">
        <v>309</v>
      </c>
    </row>
    <row r="158" spans="1:5" ht="24.95" customHeight="1">
      <c r="A158" s="3" t="s">
        <v>324</v>
      </c>
      <c r="B158" s="3" t="s">
        <v>7</v>
      </c>
      <c r="C158" s="25" t="str">
        <f>A158&amp;B158</f>
        <v>FINZ03033A</v>
      </c>
      <c r="D158" s="2" t="s">
        <v>325</v>
      </c>
      <c r="E158" s="1" t="s">
        <v>326</v>
      </c>
    </row>
    <row r="159" spans="1:5" ht="24.95" customHeight="1">
      <c r="A159" s="3" t="s">
        <v>327</v>
      </c>
      <c r="B159" s="3" t="s">
        <v>7</v>
      </c>
      <c r="C159" s="25" t="str">
        <f>A159&amp;B159</f>
        <v>FINZ03044A</v>
      </c>
      <c r="D159" s="2" t="s">
        <v>321</v>
      </c>
      <c r="E159" s="1" t="s">
        <v>328</v>
      </c>
    </row>
    <row r="160" spans="1:5" ht="24.95" customHeight="1">
      <c r="A160" s="3" t="s">
        <v>329</v>
      </c>
      <c r="B160" s="3" t="s">
        <v>15</v>
      </c>
      <c r="C160" s="25" t="str">
        <f>A160&amp;B160</f>
        <v>FP1B</v>
      </c>
      <c r="D160" s="4" t="s">
        <v>133</v>
      </c>
      <c r="E160" s="1" t="s">
        <v>330</v>
      </c>
    </row>
    <row r="161" spans="1:5" ht="24.95" customHeight="1">
      <c r="A161" s="3" t="s">
        <v>329</v>
      </c>
      <c r="B161" s="3" t="s">
        <v>18</v>
      </c>
      <c r="C161" s="25" t="str">
        <f>A161&amp;B161</f>
        <v>FP1C</v>
      </c>
      <c r="D161" s="4" t="s">
        <v>133</v>
      </c>
      <c r="E161" s="1" t="s">
        <v>331</v>
      </c>
    </row>
    <row r="162" spans="1:5" ht="24.95" customHeight="1">
      <c r="A162" s="3" t="s">
        <v>329</v>
      </c>
      <c r="B162" s="3" t="s">
        <v>20</v>
      </c>
      <c r="C162" s="25" t="str">
        <f>A162&amp;B162</f>
        <v>FP1D</v>
      </c>
      <c r="D162" s="4" t="s">
        <v>133</v>
      </c>
      <c r="E162" s="1" t="s">
        <v>332</v>
      </c>
    </row>
    <row r="163" spans="1:5" ht="24.95" customHeight="1">
      <c r="A163" s="3" t="s">
        <v>333</v>
      </c>
      <c r="B163" s="3" t="s">
        <v>7</v>
      </c>
      <c r="C163" s="25" t="str">
        <f>A163&amp;B163</f>
        <v>GOPE03014A</v>
      </c>
      <c r="D163" s="2" t="s">
        <v>334</v>
      </c>
      <c r="E163" s="24" t="s">
        <v>335</v>
      </c>
    </row>
    <row r="164" spans="1:5" ht="24.95" customHeight="1">
      <c r="A164" s="3" t="s">
        <v>336</v>
      </c>
      <c r="B164" s="3" t="s">
        <v>18</v>
      </c>
      <c r="C164" s="25" t="str">
        <f>A164&amp;B164</f>
        <v>GOPE03015C</v>
      </c>
      <c r="D164" s="4" t="s">
        <v>337</v>
      </c>
      <c r="E164" s="1" t="s">
        <v>338</v>
      </c>
    </row>
    <row r="165" spans="1:5" ht="24.95" customHeight="1">
      <c r="A165" s="3" t="s">
        <v>339</v>
      </c>
      <c r="B165" s="3" t="s">
        <v>7</v>
      </c>
      <c r="C165" s="25" t="str">
        <f>A165&amp;B165</f>
        <v>GTHA</v>
      </c>
      <c r="D165" s="2" t="s">
        <v>340</v>
      </c>
      <c r="E165" s="1" t="s">
        <v>164</v>
      </c>
    </row>
    <row r="166" spans="1:5" ht="24.95" customHeight="1">
      <c r="A166" s="3" t="s">
        <v>341</v>
      </c>
      <c r="B166" s="3" t="s">
        <v>7</v>
      </c>
      <c r="C166" s="25" t="str">
        <f>A166&amp;B166</f>
        <v>HC1A</v>
      </c>
      <c r="D166" s="4" t="s">
        <v>342</v>
      </c>
      <c r="E166" s="3" t="s">
        <v>343</v>
      </c>
    </row>
    <row r="167" spans="1:5" ht="24.95" customHeight="1">
      <c r="A167" s="3" t="s">
        <v>341</v>
      </c>
      <c r="B167" s="3" t="s">
        <v>15</v>
      </c>
      <c r="C167" s="25" t="str">
        <f>A167&amp;B167</f>
        <v>HC1B</v>
      </c>
      <c r="D167" s="4" t="s">
        <v>344</v>
      </c>
      <c r="E167" s="3" t="s">
        <v>343</v>
      </c>
    </row>
    <row r="168" spans="1:5" ht="24.95" customHeight="1">
      <c r="A168" s="3" t="s">
        <v>341</v>
      </c>
      <c r="B168" s="3" t="s">
        <v>18</v>
      </c>
      <c r="C168" s="25" t="str">
        <f>A168&amp;B168</f>
        <v>HC1C</v>
      </c>
      <c r="D168" s="4" t="s">
        <v>345</v>
      </c>
      <c r="E168" s="3" t="s">
        <v>343</v>
      </c>
    </row>
    <row r="169" spans="1:5" ht="24.95" customHeight="1">
      <c r="A169" s="3" t="s">
        <v>341</v>
      </c>
      <c r="B169" s="3" t="s">
        <v>20</v>
      </c>
      <c r="C169" s="25" t="str">
        <f>A169&amp;B169</f>
        <v>HC1D</v>
      </c>
      <c r="D169" s="4" t="s">
        <v>346</v>
      </c>
      <c r="E169" s="3" t="s">
        <v>343</v>
      </c>
    </row>
    <row r="170" spans="1:5" ht="24.95" customHeight="1">
      <c r="A170" s="3" t="s">
        <v>341</v>
      </c>
      <c r="B170" s="3" t="s">
        <v>347</v>
      </c>
      <c r="C170" s="25" t="str">
        <f>A170&amp;B170</f>
        <v>HC1E</v>
      </c>
      <c r="D170" s="4" t="s">
        <v>346</v>
      </c>
      <c r="E170" s="3" t="s">
        <v>343</v>
      </c>
    </row>
    <row r="171" spans="1:5" ht="24.95" customHeight="1">
      <c r="A171" s="3" t="s">
        <v>341</v>
      </c>
      <c r="B171" s="3" t="s">
        <v>348</v>
      </c>
      <c r="C171" s="25" t="str">
        <f>A171&amp;B171</f>
        <v>HC1F</v>
      </c>
      <c r="D171" s="4" t="s">
        <v>349</v>
      </c>
      <c r="E171" s="3" t="s">
        <v>343</v>
      </c>
    </row>
    <row r="172" spans="1:5" ht="24.95" customHeight="1">
      <c r="A172" s="3" t="s">
        <v>350</v>
      </c>
      <c r="B172" s="3" t="s">
        <v>7</v>
      </c>
      <c r="C172" s="25" t="str">
        <f>A172&amp;B172</f>
        <v>HC2A</v>
      </c>
      <c r="D172" s="4" t="s">
        <v>351</v>
      </c>
      <c r="E172" s="24" t="s">
        <v>352</v>
      </c>
    </row>
    <row r="173" spans="1:5" ht="24.95" customHeight="1">
      <c r="A173" s="3" t="s">
        <v>350</v>
      </c>
      <c r="B173" s="3" t="s">
        <v>15</v>
      </c>
      <c r="C173" s="25" t="str">
        <f>A173&amp;B173</f>
        <v>HC2B</v>
      </c>
      <c r="D173" s="4" t="s">
        <v>353</v>
      </c>
      <c r="E173" s="25" t="s">
        <v>352</v>
      </c>
    </row>
    <row r="174" spans="1:5" ht="24.95" customHeight="1">
      <c r="A174" s="3" t="s">
        <v>350</v>
      </c>
      <c r="B174" s="3" t="s">
        <v>18</v>
      </c>
      <c r="C174" s="25" t="str">
        <f>A174&amp;B174</f>
        <v>HC2C</v>
      </c>
      <c r="D174" s="4" t="s">
        <v>353</v>
      </c>
      <c r="E174" s="24" t="s">
        <v>352</v>
      </c>
    </row>
    <row r="175" spans="1:5" ht="24.95" customHeight="1">
      <c r="A175" s="3" t="s">
        <v>354</v>
      </c>
      <c r="B175" s="3" t="s">
        <v>7</v>
      </c>
      <c r="C175" s="25" t="str">
        <f>A175&amp;B175</f>
        <v>HC3A</v>
      </c>
      <c r="D175" s="2" t="s">
        <v>349</v>
      </c>
      <c r="E175" s="24" t="s">
        <v>355</v>
      </c>
    </row>
    <row r="176" spans="1:5" ht="24.95" customHeight="1">
      <c r="A176" s="25" t="s">
        <v>354</v>
      </c>
      <c r="B176" s="25" t="s">
        <v>15</v>
      </c>
      <c r="C176" s="25" t="str">
        <f>A176&amp;B176</f>
        <v>HC3B</v>
      </c>
      <c r="D176" s="2" t="s">
        <v>356</v>
      </c>
      <c r="E176" s="24" t="s">
        <v>355</v>
      </c>
    </row>
    <row r="177" spans="1:5" ht="24.95" customHeight="1">
      <c r="A177" s="3" t="s">
        <v>354</v>
      </c>
      <c r="B177" s="3" t="s">
        <v>18</v>
      </c>
      <c r="C177" s="25" t="str">
        <f>A177&amp;B177</f>
        <v>HC3C</v>
      </c>
      <c r="D177" s="2" t="s">
        <v>345</v>
      </c>
      <c r="E177" s="24" t="s">
        <v>355</v>
      </c>
    </row>
    <row r="178" spans="1:5" ht="24.95" customHeight="1">
      <c r="A178" s="3" t="s">
        <v>357</v>
      </c>
      <c r="B178" s="25" t="s">
        <v>7</v>
      </c>
      <c r="C178" s="25" t="str">
        <f>A178&amp;B178</f>
        <v>ICOA</v>
      </c>
      <c r="D178" s="2" t="s">
        <v>88</v>
      </c>
      <c r="E178" s="1" t="s">
        <v>358</v>
      </c>
    </row>
    <row r="179" spans="1:5" ht="24.95" customHeight="1">
      <c r="A179" s="3" t="s">
        <v>359</v>
      </c>
      <c r="B179" s="3" t="s">
        <v>7</v>
      </c>
      <c r="C179" s="25" t="str">
        <f>A179&amp;B179</f>
        <v>INVE03021A</v>
      </c>
      <c r="D179" s="2" t="s">
        <v>321</v>
      </c>
      <c r="E179" s="1" t="s">
        <v>360</v>
      </c>
    </row>
    <row r="180" spans="1:5" ht="24.95" customHeight="1">
      <c r="A180" s="25" t="s">
        <v>361</v>
      </c>
      <c r="B180" s="25" t="s">
        <v>7</v>
      </c>
      <c r="C180" s="25" t="str">
        <f>A180&amp;B180</f>
        <v>INVE03022A</v>
      </c>
      <c r="D180" s="4" t="s">
        <v>268</v>
      </c>
      <c r="E180" s="1" t="s">
        <v>362</v>
      </c>
    </row>
    <row r="181" spans="1:5" ht="24.95" customHeight="1">
      <c r="A181" s="3" t="s">
        <v>363</v>
      </c>
      <c r="B181" s="3" t="s">
        <v>7</v>
      </c>
      <c r="C181" s="25" t="str">
        <f>A181&amp;B181</f>
        <v>LC1A</v>
      </c>
      <c r="D181" s="4" t="s">
        <v>364</v>
      </c>
      <c r="E181" s="3" t="s">
        <v>365</v>
      </c>
    </row>
    <row r="182" spans="1:5" ht="24.95" customHeight="1">
      <c r="A182" s="3" t="s">
        <v>363</v>
      </c>
      <c r="B182" s="3" t="s">
        <v>15</v>
      </c>
      <c r="C182" s="25" t="str">
        <f>A182&amp;B182</f>
        <v>LC1B</v>
      </c>
      <c r="D182" s="4" t="s">
        <v>366</v>
      </c>
      <c r="E182" s="3" t="s">
        <v>365</v>
      </c>
    </row>
    <row r="183" spans="1:5" ht="24.95" customHeight="1">
      <c r="A183" s="3" t="s">
        <v>363</v>
      </c>
      <c r="B183" s="3" t="s">
        <v>18</v>
      </c>
      <c r="C183" s="25" t="str">
        <f>A183&amp;B183</f>
        <v>LC1C</v>
      </c>
      <c r="D183" s="4" t="s">
        <v>367</v>
      </c>
      <c r="E183" s="3" t="s">
        <v>365</v>
      </c>
    </row>
    <row r="184" spans="1:5" ht="24.95" customHeight="1">
      <c r="A184" s="3" t="s">
        <v>363</v>
      </c>
      <c r="B184" s="3" t="s">
        <v>20</v>
      </c>
      <c r="C184" s="25" t="str">
        <f>A184&amp;B184</f>
        <v>LC1D</v>
      </c>
      <c r="D184" s="4" t="s">
        <v>368</v>
      </c>
      <c r="E184" s="3" t="s">
        <v>365</v>
      </c>
    </row>
    <row r="185" spans="1:5" ht="24.95" customHeight="1">
      <c r="A185" s="3" t="s">
        <v>363</v>
      </c>
      <c r="B185" s="3" t="s">
        <v>347</v>
      </c>
      <c r="C185" s="25" t="str">
        <f>A185&amp;B185</f>
        <v>LC1E</v>
      </c>
      <c r="D185" s="4" t="s">
        <v>108</v>
      </c>
      <c r="E185" s="3" t="s">
        <v>365</v>
      </c>
    </row>
    <row r="186" spans="1:5" ht="24.95" customHeight="1">
      <c r="A186" s="3" t="s">
        <v>363</v>
      </c>
      <c r="B186" s="3" t="s">
        <v>348</v>
      </c>
      <c r="C186" s="25" t="str">
        <f>A186&amp;B186</f>
        <v>LC1F</v>
      </c>
      <c r="D186" s="4" t="s">
        <v>369</v>
      </c>
      <c r="E186" s="3" t="s">
        <v>365</v>
      </c>
    </row>
    <row r="187" spans="1:5" ht="24.95" customHeight="1">
      <c r="A187" s="3" t="s">
        <v>370</v>
      </c>
      <c r="B187" s="3" t="s">
        <v>7</v>
      </c>
      <c r="C187" s="25" t="str">
        <f>A187&amp;B187</f>
        <v>LC2A</v>
      </c>
      <c r="D187" s="4" t="s">
        <v>371</v>
      </c>
      <c r="E187" s="3" t="s">
        <v>372</v>
      </c>
    </row>
    <row r="188" spans="1:5" ht="24.95" customHeight="1">
      <c r="A188" s="25" t="s">
        <v>370</v>
      </c>
      <c r="B188" s="25" t="s">
        <v>15</v>
      </c>
      <c r="C188" s="25" t="str">
        <f>A188&amp;B188</f>
        <v>LC2B</v>
      </c>
      <c r="D188" s="4" t="s">
        <v>369</v>
      </c>
      <c r="E188" s="3" t="s">
        <v>372</v>
      </c>
    </row>
    <row r="189" spans="1:5" ht="24.95" customHeight="1">
      <c r="A189" s="3" t="s">
        <v>370</v>
      </c>
      <c r="B189" s="3" t="s">
        <v>18</v>
      </c>
      <c r="C189" s="25" t="str">
        <f>A189&amp;B189</f>
        <v>LC2C</v>
      </c>
      <c r="D189" s="2" t="s">
        <v>373</v>
      </c>
      <c r="E189" s="3" t="s">
        <v>372</v>
      </c>
    </row>
    <row r="190" spans="1:5" ht="24.95" customHeight="1">
      <c r="A190" s="3" t="s">
        <v>374</v>
      </c>
      <c r="B190" s="3" t="s">
        <v>7</v>
      </c>
      <c r="C190" s="25" t="str">
        <f>A190&amp;B190</f>
        <v>LEGI03009A</v>
      </c>
      <c r="D190" s="4" t="s">
        <v>96</v>
      </c>
      <c r="E190" s="3" t="s">
        <v>375</v>
      </c>
    </row>
    <row r="191" spans="1:5" ht="24.95" customHeight="1">
      <c r="A191" s="3" t="s">
        <v>376</v>
      </c>
      <c r="B191" s="3" t="s">
        <v>7</v>
      </c>
      <c r="C191" s="25" t="str">
        <f>A191&amp;B191</f>
        <v>M4ATA</v>
      </c>
      <c r="D191" s="2" t="s">
        <v>377</v>
      </c>
      <c r="E191" s="24" t="s">
        <v>378</v>
      </c>
    </row>
    <row r="192" spans="1:5" ht="24.95" customHeight="1">
      <c r="A192" s="3" t="s">
        <v>379</v>
      </c>
      <c r="B192" s="3" t="s">
        <v>7</v>
      </c>
      <c r="C192" s="25" t="str">
        <f>A192&amp;B192</f>
        <v>M4DSA</v>
      </c>
      <c r="D192" s="4" t="s">
        <v>104</v>
      </c>
      <c r="E192" s="3" t="s">
        <v>380</v>
      </c>
    </row>
    <row r="193" spans="1:5" ht="24.95" customHeight="1">
      <c r="A193" s="3" t="s">
        <v>381</v>
      </c>
      <c r="B193" s="3" t="s">
        <v>7</v>
      </c>
      <c r="C193" s="25" t="str">
        <f>A193&amp;B193</f>
        <v>M4FHA</v>
      </c>
      <c r="D193" s="4" t="s">
        <v>344</v>
      </c>
      <c r="E193" s="3" t="s">
        <v>382</v>
      </c>
    </row>
    <row r="194" spans="1:5" ht="24.95" customHeight="1">
      <c r="A194" s="3" t="s">
        <v>383</v>
      </c>
      <c r="B194" s="3" t="s">
        <v>7</v>
      </c>
      <c r="C194" s="25" t="str">
        <f>A194&amp;B194</f>
        <v>MACR03002A</v>
      </c>
      <c r="D194" s="2" t="s">
        <v>384</v>
      </c>
      <c r="E194" s="1" t="s">
        <v>326</v>
      </c>
    </row>
    <row r="195" spans="1:5" ht="24.95" customHeight="1">
      <c r="A195" s="3" t="s">
        <v>385</v>
      </c>
      <c r="B195" s="3" t="s">
        <v>7</v>
      </c>
      <c r="C195" s="25" t="str">
        <f>A195&amp;B195</f>
        <v>MACR03003A</v>
      </c>
      <c r="D195" s="2" t="s">
        <v>265</v>
      </c>
      <c r="E195" s="1" t="s">
        <v>266</v>
      </c>
    </row>
    <row r="196" spans="1:5" ht="24.95" customHeight="1">
      <c r="A196" s="3" t="s">
        <v>386</v>
      </c>
      <c r="B196" s="3" t="s">
        <v>7</v>
      </c>
      <c r="C196" s="25" t="str">
        <f>A196&amp;B196</f>
        <v>MACR03004A</v>
      </c>
      <c r="D196" s="2" t="s">
        <v>387</v>
      </c>
      <c r="E196" s="1" t="s">
        <v>388</v>
      </c>
    </row>
    <row r="197" spans="1:5" ht="24.95" customHeight="1">
      <c r="A197" s="3" t="s">
        <v>389</v>
      </c>
      <c r="B197" s="3" t="s">
        <v>7</v>
      </c>
      <c r="C197" s="25" t="str">
        <f>A197&amp;B197</f>
        <v>MACR03005A</v>
      </c>
      <c r="D197" s="2" t="s">
        <v>390</v>
      </c>
      <c r="E197" s="1" t="s">
        <v>391</v>
      </c>
    </row>
    <row r="198" spans="1:5" ht="24.95" customHeight="1">
      <c r="A198" s="3" t="s">
        <v>392</v>
      </c>
      <c r="B198" s="3" t="s">
        <v>7</v>
      </c>
      <c r="C198" s="25" t="str">
        <f>A198&amp;B198</f>
        <v>MACR03006A</v>
      </c>
      <c r="D198" s="2" t="s">
        <v>393</v>
      </c>
      <c r="E198" s="1" t="s">
        <v>394</v>
      </c>
    </row>
    <row r="199" spans="1:5" ht="24.95" customHeight="1">
      <c r="A199" s="3" t="s">
        <v>395</v>
      </c>
      <c r="B199" s="3" t="s">
        <v>7</v>
      </c>
      <c r="C199" s="25" t="str">
        <f>A199&amp;B199</f>
        <v>MAFA</v>
      </c>
      <c r="D199" s="2" t="s">
        <v>396</v>
      </c>
      <c r="E199" s="24" t="s">
        <v>397</v>
      </c>
    </row>
    <row r="200" spans="1:5" ht="24.95" customHeight="1">
      <c r="A200" s="3" t="s">
        <v>398</v>
      </c>
      <c r="B200" s="3" t="s">
        <v>7</v>
      </c>
      <c r="C200" s="25" t="str">
        <f>A200&amp;B200</f>
        <v>MATE03007A</v>
      </c>
      <c r="D200" s="2" t="s">
        <v>399</v>
      </c>
      <c r="E200" s="1" t="s">
        <v>155</v>
      </c>
    </row>
    <row r="201" spans="1:5" ht="24.95" customHeight="1">
      <c r="A201" s="3" t="s">
        <v>398</v>
      </c>
      <c r="B201" s="3" t="s">
        <v>15</v>
      </c>
      <c r="C201" s="25" t="str">
        <f>A201&amp;B201</f>
        <v>MATE03007B</v>
      </c>
      <c r="D201" s="2" t="s">
        <v>399</v>
      </c>
      <c r="E201" s="1" t="s">
        <v>155</v>
      </c>
    </row>
    <row r="202" spans="1:5" ht="24.95" customHeight="1">
      <c r="A202" s="3" t="s">
        <v>398</v>
      </c>
      <c r="B202" s="3" t="s">
        <v>18</v>
      </c>
      <c r="C202" s="25" t="str">
        <f>A202&amp;B202</f>
        <v>MATE03007C</v>
      </c>
      <c r="D202" s="2" t="s">
        <v>399</v>
      </c>
      <c r="E202" s="1" t="s">
        <v>155</v>
      </c>
    </row>
    <row r="203" spans="1:5" ht="24.95" customHeight="1">
      <c r="A203" s="3" t="s">
        <v>400</v>
      </c>
      <c r="B203" s="3" t="s">
        <v>7</v>
      </c>
      <c r="C203" s="25" t="str">
        <f>A203&amp;B203</f>
        <v>MATE03008A</v>
      </c>
      <c r="D203" s="4" t="s">
        <v>401</v>
      </c>
      <c r="E203" s="3" t="s">
        <v>402</v>
      </c>
    </row>
    <row r="204" spans="1:5" ht="24.95" customHeight="1">
      <c r="A204" s="3" t="s">
        <v>400</v>
      </c>
      <c r="B204" s="3" t="s">
        <v>15</v>
      </c>
      <c r="C204" s="25" t="str">
        <f>A204&amp;B204</f>
        <v>MATE03008B</v>
      </c>
      <c r="D204" s="4" t="s">
        <v>401</v>
      </c>
      <c r="E204" s="3" t="s">
        <v>402</v>
      </c>
    </row>
    <row r="205" spans="1:5" ht="24.95" customHeight="1">
      <c r="A205" s="3" t="s">
        <v>400</v>
      </c>
      <c r="B205" s="3" t="s">
        <v>18</v>
      </c>
      <c r="C205" s="25" t="str">
        <f>A205&amp;B205</f>
        <v>MATE03008C</v>
      </c>
      <c r="D205" s="4" t="s">
        <v>401</v>
      </c>
      <c r="E205" s="3" t="s">
        <v>402</v>
      </c>
    </row>
    <row r="206" spans="1:5" ht="24.95" customHeight="1">
      <c r="A206" s="3" t="s">
        <v>403</v>
      </c>
      <c r="B206" s="3" t="s">
        <v>7</v>
      </c>
      <c r="C206" s="25" t="str">
        <f>A206&amp;B206</f>
        <v>MATE03009A</v>
      </c>
      <c r="D206" s="2" t="s">
        <v>404</v>
      </c>
      <c r="E206" s="1" t="s">
        <v>291</v>
      </c>
    </row>
    <row r="207" spans="1:5" ht="24.95" customHeight="1">
      <c r="A207" s="3" t="s">
        <v>405</v>
      </c>
      <c r="B207" s="3" t="s">
        <v>7</v>
      </c>
      <c r="C207" s="25" t="str">
        <f>A207&amp;B207</f>
        <v>MATE03010A</v>
      </c>
      <c r="D207" s="2" t="s">
        <v>240</v>
      </c>
      <c r="E207" s="1" t="s">
        <v>312</v>
      </c>
    </row>
    <row r="208" spans="1:5" ht="24.95" customHeight="1">
      <c r="A208" s="3" t="s">
        <v>406</v>
      </c>
      <c r="B208" s="3" t="s">
        <v>7</v>
      </c>
      <c r="C208" s="25" t="str">
        <f>A208&amp;B208</f>
        <v>MATE03012A</v>
      </c>
      <c r="D208" s="2" t="s">
        <v>288</v>
      </c>
      <c r="E208" s="1" t="s">
        <v>169</v>
      </c>
    </row>
    <row r="209" spans="1:5" ht="24.95" customHeight="1">
      <c r="A209" s="3" t="s">
        <v>407</v>
      </c>
      <c r="B209" s="3" t="s">
        <v>7</v>
      </c>
      <c r="C209" s="25" t="str">
        <f>A209&amp;B209</f>
        <v>MICR03003A</v>
      </c>
      <c r="D209" s="2" t="s">
        <v>408</v>
      </c>
      <c r="E209" s="1" t="s">
        <v>409</v>
      </c>
    </row>
    <row r="210" spans="1:5" ht="24.95" customHeight="1">
      <c r="A210" s="3" t="s">
        <v>410</v>
      </c>
      <c r="B210" s="3" t="s">
        <v>7</v>
      </c>
      <c r="C210" s="25" t="str">
        <f>A210&amp;B210</f>
        <v>MICR03004A</v>
      </c>
      <c r="D210" s="2" t="s">
        <v>411</v>
      </c>
      <c r="E210" s="1" t="s">
        <v>287</v>
      </c>
    </row>
    <row r="211" spans="1:5" ht="24.95" customHeight="1">
      <c r="A211" s="3" t="s">
        <v>412</v>
      </c>
      <c r="B211" s="3" t="s">
        <v>7</v>
      </c>
      <c r="C211" s="25" t="str">
        <f>A211&amp;B211</f>
        <v>MICR03005A</v>
      </c>
      <c r="D211" s="2" t="s">
        <v>268</v>
      </c>
      <c r="E211" s="1" t="s">
        <v>413</v>
      </c>
    </row>
    <row r="212" spans="1:5" ht="24.95" customHeight="1">
      <c r="A212" s="3" t="s">
        <v>414</v>
      </c>
      <c r="B212" s="3" t="s">
        <v>7</v>
      </c>
      <c r="C212" s="25" t="str">
        <f>A212&amp;B212</f>
        <v>MICR03006A</v>
      </c>
      <c r="D212" s="2" t="s">
        <v>321</v>
      </c>
      <c r="E212" s="1" t="s">
        <v>328</v>
      </c>
    </row>
    <row r="213" spans="1:5" ht="24.95" customHeight="1">
      <c r="A213" s="3" t="s">
        <v>415</v>
      </c>
      <c r="B213" s="3" t="s">
        <v>7</v>
      </c>
      <c r="C213" s="25" t="str">
        <f>A213&amp;B213</f>
        <v>MICR03007A</v>
      </c>
      <c r="D213" s="2" t="s">
        <v>408</v>
      </c>
      <c r="E213" s="1" t="s">
        <v>299</v>
      </c>
    </row>
    <row r="214" spans="1:5" ht="24.95" customHeight="1">
      <c r="A214" s="3" t="s">
        <v>416</v>
      </c>
      <c r="B214" s="3" t="s">
        <v>7</v>
      </c>
      <c r="C214" s="25" t="str">
        <f>A214&amp;B214</f>
        <v>MITA</v>
      </c>
      <c r="D214" s="4" t="s">
        <v>417</v>
      </c>
      <c r="E214" s="3" t="s">
        <v>418</v>
      </c>
    </row>
    <row r="215" spans="1:5" ht="24.95" customHeight="1">
      <c r="A215" s="3" t="s">
        <v>419</v>
      </c>
      <c r="B215" s="3" t="s">
        <v>7</v>
      </c>
      <c r="C215" s="25" t="str">
        <f>A215&amp;B215</f>
        <v>MKTA</v>
      </c>
      <c r="D215" s="2" t="s">
        <v>420</v>
      </c>
      <c r="E215" s="1" t="s">
        <v>134</v>
      </c>
    </row>
    <row r="216" spans="1:5" ht="24.95" customHeight="1">
      <c r="A216" s="3" t="s">
        <v>421</v>
      </c>
      <c r="B216" s="3" t="s">
        <v>7</v>
      </c>
      <c r="C216" s="25" t="str">
        <f>A216&amp;B216</f>
        <v>MLLA</v>
      </c>
      <c r="D216" s="4" t="s">
        <v>422</v>
      </c>
      <c r="E216" s="3" t="s">
        <v>423</v>
      </c>
    </row>
    <row r="217" spans="1:5" ht="24.95" customHeight="1">
      <c r="A217" s="3" t="s">
        <v>424</v>
      </c>
      <c r="B217" s="3" t="s">
        <v>18</v>
      </c>
      <c r="C217" s="25" t="str">
        <f>A217&amp;B217</f>
        <v>MT2C</v>
      </c>
      <c r="D217" s="2" t="s">
        <v>208</v>
      </c>
      <c r="E217" s="1" t="s">
        <v>155</v>
      </c>
    </row>
    <row r="218" spans="1:5" ht="24.95" customHeight="1">
      <c r="A218" s="3" t="s">
        <v>425</v>
      </c>
      <c r="B218" s="3" t="s">
        <v>7</v>
      </c>
      <c r="C218" s="25" t="str">
        <f>A218&amp;B218</f>
        <v>PPUB03002A</v>
      </c>
      <c r="D218" s="2" t="s">
        <v>301</v>
      </c>
      <c r="E218" s="1" t="s">
        <v>426</v>
      </c>
    </row>
    <row r="219" spans="1:5" ht="24.95" customHeight="1">
      <c r="A219" s="25" t="s">
        <v>427</v>
      </c>
      <c r="B219" s="25" t="s">
        <v>7</v>
      </c>
      <c r="C219" s="25" t="str">
        <f>A219&amp;B219</f>
        <v>PSOA</v>
      </c>
      <c r="D219" s="2" t="s">
        <v>428</v>
      </c>
      <c r="E219" s="3" t="s">
        <v>429</v>
      </c>
    </row>
    <row r="220" spans="1:5" ht="24.95" customHeight="1">
      <c r="A220" s="25" t="s">
        <v>427</v>
      </c>
      <c r="B220" s="25" t="s">
        <v>15</v>
      </c>
      <c r="C220" s="25" t="str">
        <f>A220&amp;B220</f>
        <v>PSOB</v>
      </c>
      <c r="D220" s="4" t="s">
        <v>316</v>
      </c>
      <c r="E220" s="3" t="s">
        <v>430</v>
      </c>
    </row>
    <row r="221" spans="1:5" ht="24.95" customHeight="1">
      <c r="A221" s="3" t="s">
        <v>427</v>
      </c>
      <c r="B221" s="3" t="s">
        <v>18</v>
      </c>
      <c r="C221" s="25" t="str">
        <f>A221&amp;B221</f>
        <v>PSOC</v>
      </c>
      <c r="D221" s="4" t="s">
        <v>316</v>
      </c>
      <c r="E221" s="3" t="s">
        <v>431</v>
      </c>
    </row>
    <row r="222" spans="1:5" ht="24.95" customHeight="1">
      <c r="A222" s="3" t="s">
        <v>432</v>
      </c>
      <c r="B222" s="3" t="s">
        <v>7</v>
      </c>
      <c r="C222" s="25" t="str">
        <f>A222&amp;B222</f>
        <v>RCOA</v>
      </c>
      <c r="D222" s="2" t="s">
        <v>433</v>
      </c>
      <c r="E222" s="1" t="s">
        <v>434</v>
      </c>
    </row>
    <row r="223" spans="1:5" ht="24.95" customHeight="1">
      <c r="A223" s="3" t="s">
        <v>432</v>
      </c>
      <c r="B223" s="3" t="s">
        <v>15</v>
      </c>
      <c r="C223" s="25" t="str">
        <f>A223&amp;B223</f>
        <v>RCOB</v>
      </c>
      <c r="D223" s="2" t="s">
        <v>435</v>
      </c>
      <c r="E223" s="1" t="s">
        <v>436</v>
      </c>
    </row>
    <row r="224" spans="1:5" ht="24.95" customHeight="1">
      <c r="A224" s="3" t="s">
        <v>432</v>
      </c>
      <c r="B224" s="3" t="s">
        <v>18</v>
      </c>
      <c r="C224" s="25" t="str">
        <f>A224&amp;B224</f>
        <v>RCOC</v>
      </c>
      <c r="D224" s="2" t="s">
        <v>433</v>
      </c>
      <c r="E224" s="1" t="s">
        <v>225</v>
      </c>
    </row>
    <row r="225" spans="1:5" ht="24.95" customHeight="1">
      <c r="A225" s="3" t="s">
        <v>437</v>
      </c>
      <c r="B225" s="3" t="s">
        <v>7</v>
      </c>
      <c r="C225" s="25" t="str">
        <f>A225&amp;B225</f>
        <v>SCOA</v>
      </c>
      <c r="D225" s="2" t="s">
        <v>70</v>
      </c>
      <c r="E225" s="1" t="s">
        <v>155</v>
      </c>
    </row>
    <row r="226" spans="1:5" ht="24.95" customHeight="1">
      <c r="A226" s="3" t="s">
        <v>438</v>
      </c>
      <c r="B226" s="3" t="s">
        <v>7</v>
      </c>
      <c r="C226" s="25" t="str">
        <f>A226&amp;B226</f>
        <v>TE1A</v>
      </c>
      <c r="D226" s="4" t="s">
        <v>439</v>
      </c>
      <c r="E226" s="3" t="s">
        <v>440</v>
      </c>
    </row>
    <row r="227" spans="1:5" ht="24.95" customHeight="1">
      <c r="A227" s="3" t="s">
        <v>438</v>
      </c>
      <c r="B227" s="3" t="s">
        <v>15</v>
      </c>
      <c r="C227" s="25" t="str">
        <f>A227&amp;B227</f>
        <v>TE1B</v>
      </c>
      <c r="D227" s="4" t="s">
        <v>439</v>
      </c>
      <c r="E227" s="3" t="s">
        <v>440</v>
      </c>
    </row>
    <row r="228" spans="1:5" ht="24.95" customHeight="1">
      <c r="A228" s="3" t="s">
        <v>441</v>
      </c>
      <c r="B228" s="3" t="s">
        <v>7</v>
      </c>
      <c r="C228" s="25" t="str">
        <f>A228&amp;B228</f>
        <v>TE2A</v>
      </c>
      <c r="D228" s="2" t="s">
        <v>442</v>
      </c>
      <c r="E228" s="1" t="s">
        <v>443</v>
      </c>
    </row>
    <row r="229" spans="1:5" ht="24.95" customHeight="1">
      <c r="A229" s="3" t="s">
        <v>441</v>
      </c>
      <c r="B229" s="3" t="s">
        <v>15</v>
      </c>
      <c r="C229" s="25" t="str">
        <f>A229&amp;B229</f>
        <v>TE2B</v>
      </c>
      <c r="D229" s="2" t="s">
        <v>442</v>
      </c>
      <c r="E229" s="1" t="s">
        <v>443</v>
      </c>
    </row>
    <row r="230" spans="1:5" ht="24.95" customHeight="1">
      <c r="A230" s="3" t="s">
        <v>441</v>
      </c>
      <c r="B230" s="3" t="s">
        <v>18</v>
      </c>
      <c r="C230" s="25" t="str">
        <f>A230&amp;B230</f>
        <v>TE2C</v>
      </c>
      <c r="D230" s="2" t="s">
        <v>442</v>
      </c>
      <c r="E230" s="1" t="s">
        <v>443</v>
      </c>
    </row>
    <row r="231" spans="1:5" ht="24.95" customHeight="1">
      <c r="A231" s="3" t="s">
        <v>444</v>
      </c>
      <c r="B231" s="3" t="s">
        <v>7</v>
      </c>
      <c r="C231" s="25" t="str">
        <f>A231&amp;B231</f>
        <v>MICR03002A</v>
      </c>
      <c r="D231" s="2" t="s">
        <v>445</v>
      </c>
      <c r="E231" s="1"/>
    </row>
    <row r="232" spans="1:5" ht="24.95" customHeight="1">
      <c r="A232" s="3" t="s">
        <v>444</v>
      </c>
      <c r="B232" s="3" t="s">
        <v>7</v>
      </c>
      <c r="C232" s="25" t="str">
        <f>A232&amp;B232</f>
        <v>MICR03002A</v>
      </c>
      <c r="D232" s="2" t="s">
        <v>445</v>
      </c>
      <c r="E232" s="1"/>
    </row>
    <row r="233" spans="1:5" ht="24.95" customHeight="1">
      <c r="A233" s="3" t="s">
        <v>446</v>
      </c>
      <c r="B233" s="3" t="s">
        <v>7</v>
      </c>
      <c r="C233" s="25" t="str">
        <f>A233&amp;B233</f>
        <v>FINZ03042A</v>
      </c>
      <c r="D233" s="2" t="s">
        <v>447</v>
      </c>
      <c r="E233" s="1"/>
    </row>
    <row r="234" spans="1:5" ht="24.95" customHeight="1">
      <c r="A234" s="3"/>
      <c r="B234" s="3"/>
      <c r="C234" s="25" t="str">
        <f>A234&amp;B234</f>
        <v/>
      </c>
      <c r="D234" s="2"/>
      <c r="E234" s="1"/>
    </row>
    <row r="235" spans="1:5" ht="24.95" customHeight="1">
      <c r="A235" s="3"/>
      <c r="B235" s="3"/>
      <c r="C235" s="25" t="str">
        <f>A235&amp;B235</f>
        <v/>
      </c>
      <c r="D235" s="4"/>
      <c r="E235" s="3"/>
    </row>
    <row r="236" spans="1:5" ht="24.95" customHeight="1">
      <c r="A236" s="3"/>
      <c r="B236" s="3"/>
      <c r="C236" s="25" t="str">
        <f>A236&amp;B236</f>
        <v/>
      </c>
      <c r="D236" s="2"/>
      <c r="E236" s="1"/>
    </row>
    <row r="237" spans="1:5" ht="24.95" customHeight="1">
      <c r="A237" s="3"/>
      <c r="B237" s="3"/>
      <c r="C237" s="25" t="str">
        <f>A237&amp;B237</f>
        <v/>
      </c>
      <c r="D237" s="2"/>
      <c r="E237" s="1"/>
    </row>
    <row r="238" spans="1:5" ht="24.95" customHeight="1">
      <c r="A238" s="3"/>
      <c r="B238" s="3"/>
      <c r="C238" s="25" t="str">
        <f>A238&amp;B238</f>
        <v/>
      </c>
      <c r="D238" s="2"/>
      <c r="E238" s="1"/>
    </row>
    <row r="239" spans="1:5" ht="24.95" customHeight="1">
      <c r="A239" s="3"/>
      <c r="B239" s="3"/>
      <c r="C239" s="25" t="str">
        <f>A239&amp;B239</f>
        <v/>
      </c>
      <c r="D239" s="2"/>
      <c r="E239" s="1"/>
    </row>
    <row r="240" spans="1:5" ht="24.95" customHeight="1">
      <c r="A240" s="3"/>
      <c r="B240" s="3"/>
      <c r="C240" s="25" t="str">
        <f>A240&amp;B240</f>
        <v/>
      </c>
      <c r="D240" s="2"/>
      <c r="E240" s="1"/>
    </row>
    <row r="241" spans="1:5" ht="24.95" customHeight="1">
      <c r="A241" s="3"/>
      <c r="B241" s="3"/>
      <c r="C241" s="25" t="str">
        <f>A241&amp;B241</f>
        <v/>
      </c>
      <c r="D241" s="2"/>
      <c r="E241" s="1"/>
    </row>
    <row r="242" spans="1:5" ht="24.95" customHeight="1">
      <c r="A242" s="3"/>
      <c r="B242" s="3"/>
      <c r="C242" s="25" t="str">
        <f>A242&amp;B242</f>
        <v/>
      </c>
      <c r="D242" s="2"/>
      <c r="E242" s="1"/>
    </row>
    <row r="243" spans="1:5" ht="24.95" customHeight="1">
      <c r="A243" s="3"/>
      <c r="B243" s="3"/>
      <c r="C243" s="25" t="str">
        <f>A243&amp;B243</f>
        <v/>
      </c>
      <c r="D243" s="2"/>
      <c r="E243" s="1"/>
    </row>
    <row r="244" spans="1:5" ht="24.95" customHeight="1">
      <c r="A244" s="3"/>
      <c r="B244" s="3"/>
      <c r="C244" s="25" t="str">
        <f>A244&amp;B244</f>
        <v/>
      </c>
      <c r="D244" s="2"/>
      <c r="E244" s="1"/>
    </row>
    <row r="245" spans="1:5" ht="24.95" customHeight="1">
      <c r="A245" s="3"/>
      <c r="B245" s="3"/>
      <c r="C245" s="25" t="str">
        <f>A245&amp;B245</f>
        <v/>
      </c>
      <c r="D245" s="2"/>
      <c r="E245" s="1"/>
    </row>
    <row r="246" spans="1:5" ht="24.95" customHeight="1">
      <c r="A246" s="3"/>
      <c r="B246" s="3"/>
      <c r="C246" s="25" t="str">
        <f>A246&amp;B246</f>
        <v/>
      </c>
      <c r="D246" s="2"/>
      <c r="E246" s="1"/>
    </row>
    <row r="247" spans="1:5" ht="24.95" customHeight="1">
      <c r="A247" s="3"/>
      <c r="B247" s="3"/>
      <c r="C247" s="25" t="str">
        <f>A247&amp;B247</f>
        <v/>
      </c>
      <c r="D247" s="2"/>
      <c r="E247" s="1"/>
    </row>
    <row r="248" spans="1:5" ht="24.95" customHeight="1">
      <c r="A248" s="3"/>
      <c r="B248" s="3"/>
      <c r="C248" s="25" t="str">
        <f>A248&amp;B248</f>
        <v/>
      </c>
      <c r="D248" s="2"/>
      <c r="E248" s="1"/>
    </row>
    <row r="249" spans="1:5" ht="24.95" customHeight="1">
      <c r="A249" s="3"/>
      <c r="B249" s="3"/>
      <c r="C249" s="25" t="str">
        <f>A249&amp;B249</f>
        <v/>
      </c>
      <c r="D249" s="2"/>
      <c r="E249" s="1"/>
    </row>
    <row r="250" spans="1:5" ht="24.95" customHeight="1">
      <c r="A250" s="3"/>
      <c r="B250" s="3"/>
      <c r="C250" s="25" t="str">
        <f>A250&amp;B250</f>
        <v/>
      </c>
      <c r="D250" s="4"/>
      <c r="E250" s="3"/>
    </row>
    <row r="251" spans="1:5" ht="24.95" customHeight="1">
      <c r="A251" s="3"/>
      <c r="B251" s="3"/>
      <c r="C251" s="25" t="str">
        <f>A251&amp;B251</f>
        <v/>
      </c>
      <c r="D251" s="2"/>
      <c r="E251" s="1"/>
    </row>
    <row r="252" spans="1:5" ht="24.95" customHeight="1">
      <c r="A252" s="3"/>
      <c r="B252" s="3"/>
      <c r="C252" s="25" t="str">
        <f>A252&amp;B252</f>
        <v/>
      </c>
      <c r="D252" s="4"/>
      <c r="E252" s="3"/>
    </row>
    <row r="253" spans="1:5" ht="24.95" customHeight="1">
      <c r="A253" s="3"/>
      <c r="B253" s="3"/>
      <c r="C253" s="25" t="str">
        <f>A253&amp;B253</f>
        <v/>
      </c>
      <c r="D253" s="2"/>
      <c r="E253" s="1"/>
    </row>
    <row r="254" spans="1:5" ht="24.95" customHeight="1">
      <c r="A254" s="3"/>
      <c r="B254" s="3"/>
      <c r="C254" s="25" t="str">
        <f>A254&amp;B254</f>
        <v/>
      </c>
      <c r="D254" s="2"/>
      <c r="E254" s="1"/>
    </row>
    <row r="255" spans="1:5" ht="24.95" customHeight="1">
      <c r="A255" s="3"/>
      <c r="B255" s="3"/>
      <c r="C255" s="25" t="str">
        <f>A255&amp;B255</f>
        <v/>
      </c>
      <c r="D255" s="2"/>
      <c r="E255" s="1"/>
    </row>
    <row r="256" spans="1:5" ht="24.95" customHeight="1">
      <c r="A256" s="3"/>
      <c r="B256" s="3"/>
      <c r="C256" s="25" t="str">
        <f>A256&amp;B256</f>
        <v/>
      </c>
      <c r="D256" s="2"/>
      <c r="E256" s="1"/>
    </row>
    <row r="257" spans="1:5" ht="24.95" customHeight="1">
      <c r="A257" s="3"/>
      <c r="B257" s="3"/>
      <c r="C257" s="25" t="str">
        <f>A257&amp;B257</f>
        <v/>
      </c>
      <c r="D257" s="2"/>
      <c r="E257" s="1"/>
    </row>
    <row r="258" spans="1:5" ht="24.95" customHeight="1">
      <c r="A258" s="3"/>
      <c r="B258" s="3"/>
      <c r="C258" s="25" t="str">
        <f>A258&amp;B258</f>
        <v/>
      </c>
      <c r="D258" s="2"/>
      <c r="E258" s="1"/>
    </row>
    <row r="259" spans="1:5" ht="24.95" customHeight="1">
      <c r="A259" s="3"/>
      <c r="B259" s="3"/>
      <c r="C259" s="25" t="str">
        <f>A259&amp;B259</f>
        <v/>
      </c>
      <c r="D259" s="2"/>
      <c r="E259" s="1"/>
    </row>
    <row r="260" spans="1:5" ht="24.95" customHeight="1">
      <c r="A260" s="3"/>
      <c r="B260" s="3"/>
      <c r="C260" s="25" t="str">
        <f>A260&amp;B260</f>
        <v/>
      </c>
      <c r="D260" s="2"/>
      <c r="E260" s="1"/>
    </row>
    <row r="261" spans="1:5" ht="24.95" customHeight="1">
      <c r="A261" s="3"/>
      <c r="B261" s="3"/>
      <c r="C261" s="25" t="str">
        <f>A261&amp;B261</f>
        <v/>
      </c>
      <c r="D261" s="2"/>
      <c r="E261" s="1"/>
    </row>
    <row r="262" spans="1:5">
      <c r="A262" s="1"/>
      <c r="B262" s="1"/>
      <c r="C262" s="25" t="str">
        <f>A262&amp;B262</f>
        <v/>
      </c>
    </row>
    <row r="263" spans="1:5">
      <c r="A263" s="1"/>
      <c r="B263" s="1"/>
      <c r="C263" s="25" t="str">
        <f>A263&amp;B263</f>
        <v/>
      </c>
    </row>
    <row r="264" spans="1:5">
      <c r="A264" s="1"/>
      <c r="B264" s="1"/>
      <c r="C264" s="25" t="str">
        <f>A264&amp;B264</f>
        <v/>
      </c>
    </row>
  </sheetData>
  <autoFilter ref="A4:E261" xr:uid="{C83C40C3-3D5C-4476-8F2C-8F010D52EFD2}">
    <sortState xmlns:xlrd2="http://schemas.microsoft.com/office/spreadsheetml/2017/richdata2" ref="A5:E261">
      <sortCondition ref="A4:A261"/>
    </sortState>
  </autoFilter>
  <sortState xmlns:xlrd2="http://schemas.microsoft.com/office/spreadsheetml/2017/richdata2" ref="A180:C200">
    <sortCondition ref="A180:A200"/>
  </sortState>
  <phoneticPr fontId="1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9450D-0AA2-4311-9B09-5FD5FC8F8AF6}">
  <sheetPr codeName="Hoja2">
    <pageSetUpPr fitToPage="1"/>
  </sheetPr>
  <dimension ref="A2:N693"/>
  <sheetViews>
    <sheetView showGridLines="0" tabSelected="1" zoomScale="130" zoomScaleNormal="130" workbookViewId="0">
      <selection activeCell="A4" sqref="A4:K4"/>
    </sheetView>
  </sheetViews>
  <sheetFormatPr defaultColWidth="11.42578125" defaultRowHeight="15"/>
  <cols>
    <col min="1" max="1" width="13.5703125" customWidth="1"/>
    <col min="2" max="2" width="10.42578125" bestFit="1" customWidth="1"/>
    <col min="3" max="3" width="14" customWidth="1"/>
    <col min="4" max="4" width="48.42578125" customWidth="1"/>
    <col min="5" max="5" width="15.5703125" customWidth="1"/>
    <col min="6" max="6" width="9.140625" bestFit="1" customWidth="1"/>
    <col min="7" max="7" width="15.5703125" style="8" customWidth="1"/>
    <col min="8" max="8" width="19.85546875" style="8" customWidth="1"/>
    <col min="9" max="9" width="11.7109375" style="8" bestFit="1" customWidth="1"/>
    <col min="10" max="10" width="24.28515625" style="8" bestFit="1" customWidth="1"/>
    <col min="11" max="11" width="13.42578125" style="8" bestFit="1" customWidth="1"/>
    <col min="12" max="12" width="14.42578125" style="8" customWidth="1"/>
    <col min="13" max="13" width="38.5703125" customWidth="1"/>
  </cols>
  <sheetData>
    <row r="2" spans="1:14" ht="20.25">
      <c r="A2" s="26" t="s">
        <v>448</v>
      </c>
      <c r="B2" s="26"/>
      <c r="C2" s="26"/>
      <c r="D2" s="26"/>
      <c r="E2" s="26"/>
      <c r="F2" s="26"/>
      <c r="G2" s="27"/>
      <c r="H2" s="27"/>
      <c r="I2" s="26"/>
      <c r="J2" s="27"/>
      <c r="K2" s="27"/>
      <c r="L2" s="28"/>
      <c r="M2" s="27"/>
    </row>
    <row r="3" spans="1:14">
      <c r="G3" s="6"/>
      <c r="H3" s="6"/>
      <c r="J3" s="7"/>
      <c r="L3" s="37" t="s">
        <v>449</v>
      </c>
    </row>
    <row r="4" spans="1:14" ht="31.5" customHeight="1">
      <c r="A4" s="16" t="s">
        <v>450</v>
      </c>
      <c r="B4" s="16" t="s">
        <v>451</v>
      </c>
      <c r="C4" s="16" t="s">
        <v>452</v>
      </c>
      <c r="D4" s="17" t="s">
        <v>453</v>
      </c>
      <c r="E4" s="57" t="s">
        <v>454</v>
      </c>
      <c r="F4" s="16" t="s">
        <v>455</v>
      </c>
      <c r="G4" s="20" t="s">
        <v>456</v>
      </c>
      <c r="H4" s="19" t="s">
        <v>457</v>
      </c>
      <c r="I4" s="17" t="s">
        <v>458</v>
      </c>
      <c r="J4" s="18" t="s">
        <v>459</v>
      </c>
      <c r="K4" s="17" t="s">
        <v>460</v>
      </c>
      <c r="L4" s="20" t="s">
        <v>461</v>
      </c>
      <c r="M4" s="16" t="s">
        <v>462</v>
      </c>
      <c r="N4" s="79" t="s">
        <v>463</v>
      </c>
    </row>
    <row r="5" spans="1:14" ht="31.5" customHeight="1">
      <c r="A5" s="29" t="s">
        <v>177</v>
      </c>
      <c r="B5" s="29" t="s">
        <v>7</v>
      </c>
      <c r="C5" s="29" t="str">
        <f>A5&amp;B5</f>
        <v>A1MK2A</v>
      </c>
      <c r="D5" s="30" t="str">
        <f>VLOOKUP($C5,Asignaturas!$C$5:$D$261,2,0)</f>
        <v xml:space="preserve">VICTOR ALEJANDRO DE LA TORRE PALACIOS / </v>
      </c>
      <c r="E5" s="105" t="s">
        <v>10</v>
      </c>
      <c r="F5" s="23" t="s">
        <v>464</v>
      </c>
      <c r="G5" s="62">
        <v>46121</v>
      </c>
      <c r="H5" s="62">
        <v>46122</v>
      </c>
      <c r="I5" s="23" t="s">
        <v>465</v>
      </c>
      <c r="J5" s="36">
        <f>+Tabla2[[#This Row],[DÍA DE ENTREGA]]+8</f>
        <v>46129</v>
      </c>
      <c r="K5" s="23" t="s">
        <v>466</v>
      </c>
      <c r="L5" s="99">
        <v>1</v>
      </c>
      <c r="M5" s="29"/>
      <c r="N5" s="29"/>
    </row>
    <row r="6" spans="1:14" ht="31.5" customHeight="1">
      <c r="A6" s="29" t="s">
        <v>63</v>
      </c>
      <c r="B6" s="29" t="s">
        <v>7</v>
      </c>
      <c r="C6" s="29" t="str">
        <f>A6&amp;B6</f>
        <v>A1CC1A</v>
      </c>
      <c r="D6" s="30" t="str">
        <f>VLOOKUP($C6,Asignaturas!$C$5:$D$261,2,0)</f>
        <v xml:space="preserve">JORGE ARMANDO SANCHEZ FARFAN / </v>
      </c>
      <c r="E6" s="29" t="s">
        <v>467</v>
      </c>
      <c r="F6" s="23" t="s">
        <v>464</v>
      </c>
      <c r="G6" s="31">
        <v>46121</v>
      </c>
      <c r="H6" s="31">
        <v>46122</v>
      </c>
      <c r="I6" s="23" t="s">
        <v>465</v>
      </c>
      <c r="J6" s="36">
        <f>+Tabla2[[#This Row],[DÍA DE ENTREGA]]+8</f>
        <v>46129</v>
      </c>
      <c r="K6" s="23" t="s">
        <v>466</v>
      </c>
      <c r="L6" s="99">
        <v>1</v>
      </c>
      <c r="M6" s="29"/>
      <c r="N6" s="29"/>
    </row>
    <row r="7" spans="1:14" ht="31.5" customHeight="1">
      <c r="A7" s="29" t="s">
        <v>386</v>
      </c>
      <c r="B7" s="29" t="s">
        <v>7</v>
      </c>
      <c r="C7" s="29" t="str">
        <f>A7&amp;B7</f>
        <v>MACR03004A</v>
      </c>
      <c r="D7" s="30" t="str">
        <f>VLOOKUP($C7,Asignaturas!$C$5:$D$261,2,0)</f>
        <v>ZENÓN FIDEL QUISPE MISAICO /</v>
      </c>
      <c r="E7" s="106" t="s">
        <v>10</v>
      </c>
      <c r="F7" s="23" t="s">
        <v>464</v>
      </c>
      <c r="G7" s="31">
        <v>46122</v>
      </c>
      <c r="H7" s="31">
        <v>46126</v>
      </c>
      <c r="I7" s="23" t="s">
        <v>465</v>
      </c>
      <c r="J7" s="36">
        <f>+Tabla2[[#This Row],[DÍA DE ENTREGA]]+8</f>
        <v>46130</v>
      </c>
      <c r="K7" s="23" t="s">
        <v>468</v>
      </c>
      <c r="L7" s="103">
        <v>0</v>
      </c>
      <c r="M7" s="29"/>
      <c r="N7" s="29"/>
    </row>
    <row r="8" spans="1:14" ht="31.5" customHeight="1">
      <c r="A8" s="29" t="s">
        <v>111</v>
      </c>
      <c r="B8" s="29" t="s">
        <v>7</v>
      </c>
      <c r="C8" s="29" t="str">
        <f>A8&amp;B8</f>
        <v>A1EC1A</v>
      </c>
      <c r="D8" s="30" t="str">
        <f>VLOOKUP($C8,Asignaturas!$C$5:$D$261,2,0)</f>
        <v>INGRID CECILIA CASANA ORTEGA /</v>
      </c>
      <c r="E8" s="107" t="s">
        <v>10</v>
      </c>
      <c r="F8" s="23" t="s">
        <v>464</v>
      </c>
      <c r="G8" s="31">
        <v>46122</v>
      </c>
      <c r="H8" s="31">
        <v>46126</v>
      </c>
      <c r="I8" s="23" t="s">
        <v>465</v>
      </c>
      <c r="J8" s="36">
        <f>+Tabla2[[#This Row],[DÍA DE ENTREGA]]+8</f>
        <v>46130</v>
      </c>
      <c r="K8" s="23" t="s">
        <v>466</v>
      </c>
      <c r="L8" s="103">
        <v>0</v>
      </c>
      <c r="M8" s="29"/>
      <c r="N8" s="29"/>
    </row>
    <row r="9" spans="1:14" ht="31.5" customHeight="1">
      <c r="A9" s="29" t="s">
        <v>111</v>
      </c>
      <c r="B9" s="29" t="s">
        <v>15</v>
      </c>
      <c r="C9" s="29" t="str">
        <f>A9&amp;B9</f>
        <v>A1EC1B</v>
      </c>
      <c r="D9" s="30" t="str">
        <f>VLOOKUP($C9,Asignaturas!$C$5:$D$261,2,0)</f>
        <v>INGRID CECILIA CASANA ORTEGA /</v>
      </c>
      <c r="E9" s="107" t="s">
        <v>10</v>
      </c>
      <c r="F9" s="23" t="s">
        <v>464</v>
      </c>
      <c r="G9" s="31">
        <v>46121</v>
      </c>
      <c r="H9" s="31">
        <v>46122</v>
      </c>
      <c r="I9" s="23" t="s">
        <v>465</v>
      </c>
      <c r="J9" s="36">
        <f>+Tabla2[[#This Row],[DÍA DE ENTREGA]]+8</f>
        <v>46129</v>
      </c>
      <c r="K9" s="23" t="s">
        <v>466</v>
      </c>
      <c r="L9" s="103">
        <v>0</v>
      </c>
      <c r="M9" s="29"/>
      <c r="N9" s="29"/>
    </row>
    <row r="10" spans="1:14" ht="31.5" customHeight="1">
      <c r="A10" s="29" t="s">
        <v>400</v>
      </c>
      <c r="B10" s="29" t="s">
        <v>15</v>
      </c>
      <c r="C10" s="29" t="str">
        <f>A10&amp;B10</f>
        <v>MATE03008B</v>
      </c>
      <c r="D10" s="30" t="str">
        <f>VLOOKUP($C10,Asignaturas!$C$5:$D$261,2,0)</f>
        <v xml:space="preserve">JAVIER FARFÁN NAVARRO / </v>
      </c>
      <c r="E10" s="29" t="s">
        <v>467</v>
      </c>
      <c r="F10" s="23" t="s">
        <v>464</v>
      </c>
      <c r="G10" s="31">
        <v>46120</v>
      </c>
      <c r="H10" s="31">
        <v>46121</v>
      </c>
      <c r="I10" s="23" t="s">
        <v>469</v>
      </c>
      <c r="J10" s="36">
        <f>+Tabla2[[#This Row],[DÍA DE ENTREGA]]+8</f>
        <v>46128</v>
      </c>
      <c r="K10" s="23" t="s">
        <v>466</v>
      </c>
      <c r="L10" s="99">
        <v>1</v>
      </c>
      <c r="M10" s="29" t="s">
        <v>470</v>
      </c>
      <c r="N10" s="29"/>
    </row>
    <row r="11" spans="1:14" ht="31.5" customHeight="1">
      <c r="A11" s="29" t="s">
        <v>232</v>
      </c>
      <c r="B11" s="29" t="s">
        <v>7</v>
      </c>
      <c r="C11" s="29" t="str">
        <f>A11&amp;B11</f>
        <v>AF1A</v>
      </c>
      <c r="D11" s="30" t="str">
        <f>VLOOKUP($C11,Asignaturas!$C$5:$D$261,2,0)</f>
        <v xml:space="preserve">CLAUDIA MARÍA RIVERA TÁVARA / </v>
      </c>
      <c r="E11" s="56" t="s">
        <v>467</v>
      </c>
      <c r="F11" s="23" t="s">
        <v>471</v>
      </c>
      <c r="G11" s="31">
        <v>46122</v>
      </c>
      <c r="H11" s="31">
        <v>46126</v>
      </c>
      <c r="I11" s="23" t="s">
        <v>469</v>
      </c>
      <c r="J11" s="36">
        <f>+Tabla2[[#This Row],[DÍA DE ENTREGA]]+8</f>
        <v>46130</v>
      </c>
      <c r="K11" s="23" t="s">
        <v>466</v>
      </c>
      <c r="L11" s="99"/>
      <c r="M11" s="29"/>
      <c r="N11" s="29"/>
    </row>
    <row r="12" spans="1:14" ht="31.5" customHeight="1">
      <c r="A12" s="29" t="s">
        <v>244</v>
      </c>
      <c r="B12" s="29" t="s">
        <v>7</v>
      </c>
      <c r="C12" s="29" t="str">
        <f>A12&amp;B12</f>
        <v>CF4A</v>
      </c>
      <c r="D12" s="30" t="str">
        <f>VLOOKUP($C12,Asignaturas!$C$5:$D$261,2,0)</f>
        <v xml:space="preserve">MARÍA CECILIA VENEGAS MORALES / </v>
      </c>
      <c r="E12" s="104" t="s">
        <v>10</v>
      </c>
      <c r="F12" s="61" t="s">
        <v>464</v>
      </c>
      <c r="G12" s="62">
        <v>46126</v>
      </c>
      <c r="H12" s="62">
        <v>46127</v>
      </c>
      <c r="I12" s="61" t="s">
        <v>465</v>
      </c>
      <c r="J12" s="63">
        <f>+Tabla2[[#This Row],[DÍA DE ENTREGA]]+8</f>
        <v>46134</v>
      </c>
      <c r="K12" s="61" t="s">
        <v>468</v>
      </c>
      <c r="L12" s="103">
        <v>0</v>
      </c>
      <c r="M12" s="29"/>
      <c r="N12" s="29"/>
    </row>
    <row r="13" spans="1:14" ht="31.5" customHeight="1">
      <c r="A13" s="29" t="s">
        <v>341</v>
      </c>
      <c r="B13" s="29" t="s">
        <v>18</v>
      </c>
      <c r="C13" s="29" t="str">
        <f>A13&amp;B13</f>
        <v>HC1C</v>
      </c>
      <c r="D13" s="30" t="str">
        <f>VLOOKUP($C13,Asignaturas!$C$5:$D$261,2,0)</f>
        <v xml:space="preserve">ADRIANA ISABEL LAOS LEVAGGI / </v>
      </c>
      <c r="E13" s="104" t="s">
        <v>10</v>
      </c>
      <c r="F13" s="61" t="s">
        <v>471</v>
      </c>
      <c r="G13" s="62">
        <v>46126</v>
      </c>
      <c r="H13" s="62">
        <v>46127</v>
      </c>
      <c r="I13" s="61" t="s">
        <v>469</v>
      </c>
      <c r="J13" s="63">
        <f>+Tabla2[[#This Row],[DÍA DE ENTREGA]]+8</f>
        <v>46134</v>
      </c>
      <c r="K13" s="61" t="s">
        <v>468</v>
      </c>
      <c r="L13" s="99">
        <v>2</v>
      </c>
      <c r="M13" s="29"/>
      <c r="N13" s="29"/>
    </row>
    <row r="14" spans="1:14" ht="31.5" customHeight="1">
      <c r="A14" s="29" t="s">
        <v>313</v>
      </c>
      <c r="B14" s="29" t="s">
        <v>7</v>
      </c>
      <c r="C14" s="29" t="str">
        <f>A14&amp;B14</f>
        <v>ESTA03008A</v>
      </c>
      <c r="D14" s="30" t="str">
        <f>VLOOKUP($C14,Asignaturas!$C$5:$D$261,2,0)</f>
        <v xml:space="preserve">CRISTIAN ADDERLY MARAVI MENESES / </v>
      </c>
      <c r="E14" s="104" t="s">
        <v>10</v>
      </c>
      <c r="F14" s="23" t="s">
        <v>464</v>
      </c>
      <c r="G14" s="62">
        <v>46126</v>
      </c>
      <c r="H14" s="62">
        <v>46127</v>
      </c>
      <c r="I14" s="61" t="s">
        <v>465</v>
      </c>
      <c r="J14" s="63">
        <f>+Tabla2[[#This Row],[DÍA DE ENTREGA]]+8</f>
        <v>46134</v>
      </c>
      <c r="K14" s="61" t="s">
        <v>466</v>
      </c>
      <c r="L14" s="99">
        <v>2</v>
      </c>
      <c r="M14" s="29"/>
      <c r="N14" s="29"/>
    </row>
    <row r="15" spans="1:14" ht="31.5" customHeight="1">
      <c r="A15" s="29" t="s">
        <v>107</v>
      </c>
      <c r="B15" s="29" t="s">
        <v>7</v>
      </c>
      <c r="C15" s="29" t="str">
        <f>A15&amp;B15</f>
        <v>A1DPRT9A</v>
      </c>
      <c r="D15" s="30" t="str">
        <f>VLOOKUP($C15,Asignaturas!$C$5:$D$261,2,0)</f>
        <v>MANUEL PRENDES GUARDIOLA /</v>
      </c>
      <c r="E15" s="106" t="s">
        <v>10</v>
      </c>
      <c r="F15" s="23" t="s">
        <v>471</v>
      </c>
      <c r="G15" s="31">
        <v>46126</v>
      </c>
      <c r="H15" s="31">
        <v>46127</v>
      </c>
      <c r="I15" s="23" t="s">
        <v>469</v>
      </c>
      <c r="J15" s="36">
        <f>+Tabla2[[#This Row],[DÍA DE ENTREGA]]+8</f>
        <v>46134</v>
      </c>
      <c r="K15" s="23" t="s">
        <v>466</v>
      </c>
      <c r="L15" s="99">
        <v>1</v>
      </c>
      <c r="M15" s="29"/>
      <c r="N15" s="29"/>
    </row>
    <row r="16" spans="1:14" ht="31.5" customHeight="1">
      <c r="A16" s="29" t="s">
        <v>323</v>
      </c>
      <c r="B16" s="29" t="s">
        <v>7</v>
      </c>
      <c r="C16" s="29" t="str">
        <f>A16&amp;B16</f>
        <v>FINZ03032A</v>
      </c>
      <c r="D16" s="30" t="str">
        <f>VLOOKUP($C16,Asignaturas!$C$5:$D$261,2,0)</f>
        <v xml:space="preserve">BRENDA SILUPÚ GARCÉS / SERGIO DAVID REYES LANDA / </v>
      </c>
      <c r="E16" s="106" t="s">
        <v>10</v>
      </c>
      <c r="F16" s="23" t="s">
        <v>464</v>
      </c>
      <c r="G16" s="31">
        <v>46127</v>
      </c>
      <c r="H16" s="31">
        <v>46128</v>
      </c>
      <c r="I16" s="23" t="s">
        <v>465</v>
      </c>
      <c r="J16" s="36">
        <f>+Tabla2[[#This Row],[DÍA DE ENTREGA]]+8</f>
        <v>46135</v>
      </c>
      <c r="K16" s="23" t="s">
        <v>466</v>
      </c>
      <c r="L16" s="103">
        <v>0</v>
      </c>
      <c r="M16" s="29"/>
      <c r="N16" s="29"/>
    </row>
    <row r="17" spans="1:14" ht="31.5" customHeight="1">
      <c r="A17" s="29" t="s">
        <v>400</v>
      </c>
      <c r="B17" s="29" t="s">
        <v>7</v>
      </c>
      <c r="C17" s="29" t="str">
        <f>A17&amp;B17</f>
        <v>MATE03008A</v>
      </c>
      <c r="D17" s="30" t="str">
        <f>VLOOKUP($C17,Asignaturas!$C$5:$D$261,2,0)</f>
        <v xml:space="preserve">JAVIER FARFÁN NAVARRO / </v>
      </c>
      <c r="E17" s="106" t="s">
        <v>10</v>
      </c>
      <c r="F17" s="23" t="s">
        <v>464</v>
      </c>
      <c r="G17" s="31">
        <v>46127</v>
      </c>
      <c r="H17" s="31">
        <v>46128</v>
      </c>
      <c r="I17" s="23" t="s">
        <v>465</v>
      </c>
      <c r="J17" s="36">
        <f>+Tabla2[[#This Row],[DÍA DE ENTREGA]]+8</f>
        <v>46135</v>
      </c>
      <c r="K17" s="23" t="s">
        <v>466</v>
      </c>
      <c r="L17" s="99">
        <v>6</v>
      </c>
      <c r="M17" s="29"/>
      <c r="N17" s="29"/>
    </row>
    <row r="18" spans="1:14" ht="31.5" customHeight="1">
      <c r="A18" s="29" t="s">
        <v>400</v>
      </c>
      <c r="B18" s="29" t="s">
        <v>18</v>
      </c>
      <c r="C18" s="29" t="str">
        <f>A18&amp;B18</f>
        <v>MATE03008C</v>
      </c>
      <c r="D18" s="30" t="str">
        <f>VLOOKUP($C18,Asignaturas!$C$5:$D$261,2,0)</f>
        <v xml:space="preserve">JAVIER FARFÁN NAVARRO / </v>
      </c>
      <c r="E18" s="106" t="s">
        <v>10</v>
      </c>
      <c r="F18" s="23" t="s">
        <v>464</v>
      </c>
      <c r="G18" s="31">
        <v>46127</v>
      </c>
      <c r="H18" s="31">
        <v>46128</v>
      </c>
      <c r="I18" s="23" t="s">
        <v>465</v>
      </c>
      <c r="J18" s="36">
        <f>+Tabla2[[#This Row],[DÍA DE ENTREGA]]+8</f>
        <v>46135</v>
      </c>
      <c r="K18" s="23" t="s">
        <v>466</v>
      </c>
      <c r="L18" s="99">
        <v>7</v>
      </c>
      <c r="M18" s="41"/>
      <c r="N18" s="29"/>
    </row>
    <row r="19" spans="1:14" ht="31.5" customHeight="1">
      <c r="A19" s="29" t="s">
        <v>403</v>
      </c>
      <c r="B19" s="29" t="s">
        <v>7</v>
      </c>
      <c r="C19" s="29" t="str">
        <f>A19&amp;B19</f>
        <v>MATE03009A</v>
      </c>
      <c r="D19" s="30" t="str">
        <f>VLOOKUP($C19,Asignaturas!$C$5:$D$261,2,0)</f>
        <v>NESTOR FARÍAS / WILLIAN REYES</v>
      </c>
      <c r="E19" s="106" t="s">
        <v>10</v>
      </c>
      <c r="F19" s="23" t="s">
        <v>464</v>
      </c>
      <c r="G19" s="31">
        <v>46127</v>
      </c>
      <c r="H19" s="31">
        <v>46128</v>
      </c>
      <c r="I19" s="23" t="s">
        <v>465</v>
      </c>
      <c r="J19" s="36">
        <f>+Tabla2[[#This Row],[DÍA DE ENTREGA]]+8</f>
        <v>46135</v>
      </c>
      <c r="K19" s="23" t="s">
        <v>466</v>
      </c>
      <c r="L19" s="99">
        <v>5</v>
      </c>
      <c r="M19" s="29"/>
      <c r="N19" s="29"/>
    </row>
    <row r="20" spans="1:14" ht="31.5" customHeight="1">
      <c r="A20" s="29" t="s">
        <v>383</v>
      </c>
      <c r="B20" s="29" t="s">
        <v>7</v>
      </c>
      <c r="C20" s="29" t="str">
        <f>A20&amp;B20</f>
        <v>MACR03002A</v>
      </c>
      <c r="D20" s="30" t="str">
        <f>VLOOKUP($C20,Asignaturas!$C$5:$D$261,2,0)</f>
        <v>LUIS ALONSO CASAVERDE ANTÓN /</v>
      </c>
      <c r="E20" s="106" t="s">
        <v>10</v>
      </c>
      <c r="F20" s="23" t="s">
        <v>464</v>
      </c>
      <c r="G20" s="31">
        <v>46128</v>
      </c>
      <c r="H20" s="31">
        <v>46129</v>
      </c>
      <c r="I20" s="23" t="s">
        <v>465</v>
      </c>
      <c r="J20" s="36">
        <f>+Tabla2[[#This Row],[DÍA DE ENTREGA]]+8</f>
        <v>46136</v>
      </c>
      <c r="K20" s="23" t="s">
        <v>466</v>
      </c>
      <c r="L20" s="109">
        <v>1</v>
      </c>
      <c r="M20" s="44"/>
      <c r="N20" s="29"/>
    </row>
    <row r="21" spans="1:14" ht="31.5" customHeight="1">
      <c r="A21" s="29" t="s">
        <v>80</v>
      </c>
      <c r="B21" s="29" t="s">
        <v>15</v>
      </c>
      <c r="C21" s="29" t="str">
        <f>A21&amp;B21</f>
        <v>A1CF2B</v>
      </c>
      <c r="D21" s="30" t="str">
        <f>VLOOKUP($C21,Asignaturas!$C$5:$D$261,2,0)</f>
        <v xml:space="preserve">MARLON RAUL ALVIA SIANCAS / </v>
      </c>
      <c r="E21" s="108" t="s">
        <v>30</v>
      </c>
      <c r="F21" s="23" t="s">
        <v>464</v>
      </c>
      <c r="G21" s="31">
        <v>46128</v>
      </c>
      <c r="H21" s="31">
        <v>46129</v>
      </c>
      <c r="I21" s="23" t="s">
        <v>465</v>
      </c>
      <c r="J21" s="36">
        <f>+Tabla2[[#This Row],[DÍA DE ENTREGA]]+8</f>
        <v>46136</v>
      </c>
      <c r="K21" s="23" t="s">
        <v>466</v>
      </c>
      <c r="L21" s="109">
        <v>0</v>
      </c>
      <c r="M21" s="29"/>
      <c r="N21" s="29"/>
    </row>
    <row r="22" spans="1:14" ht="31.5" customHeight="1">
      <c r="A22" s="29" t="s">
        <v>339</v>
      </c>
      <c r="B22" s="29" t="s">
        <v>7</v>
      </c>
      <c r="C22" s="29" t="str">
        <f>A22&amp;B22</f>
        <v>GTHA</v>
      </c>
      <c r="D22" s="30" t="str">
        <f>VLOOKUP($C22,Asignaturas!$C$5:$D$261,2,0)</f>
        <v xml:space="preserve">JUANA MARÍA HUACO GARCÍA / TEO ERNESTO MARTIN HIDALGO CORTES / </v>
      </c>
      <c r="E22" s="106" t="s">
        <v>10</v>
      </c>
      <c r="F22" s="23" t="s">
        <v>464</v>
      </c>
      <c r="G22" s="31">
        <v>46129</v>
      </c>
      <c r="H22" s="31">
        <v>46132</v>
      </c>
      <c r="I22" s="23" t="s">
        <v>465</v>
      </c>
      <c r="J22" s="36">
        <f>+Tabla2[[#This Row],[DÍA DE ENTREGA]]+8</f>
        <v>46137</v>
      </c>
      <c r="K22" s="23" t="s">
        <v>468</v>
      </c>
      <c r="L22" s="109">
        <v>0</v>
      </c>
      <c r="M22" s="29"/>
      <c r="N22" s="29"/>
    </row>
    <row r="23" spans="1:14" ht="31.5" customHeight="1">
      <c r="A23" s="29" t="s">
        <v>341</v>
      </c>
      <c r="B23" s="29" t="s">
        <v>348</v>
      </c>
      <c r="C23" s="29" t="str">
        <f>A23&amp;B23</f>
        <v>HC1F</v>
      </c>
      <c r="D23" s="30" t="str">
        <f>VLOOKUP($C23,Asignaturas!$C$5:$D$261,2,0)</f>
        <v xml:space="preserve">JAVIER GOMEZ SANCHEZ / </v>
      </c>
      <c r="E23" s="106" t="s">
        <v>10</v>
      </c>
      <c r="F23" s="23" t="s">
        <v>464</v>
      </c>
      <c r="G23" s="31">
        <v>46128</v>
      </c>
      <c r="H23" s="31">
        <v>46129</v>
      </c>
      <c r="I23" s="23" t="s">
        <v>465</v>
      </c>
      <c r="J23" s="36">
        <f>+Tabla2[[#This Row],[DÍA DE ENTREGA]]+8</f>
        <v>46136</v>
      </c>
      <c r="K23" s="23" t="s">
        <v>466</v>
      </c>
      <c r="L23" s="109">
        <v>0</v>
      </c>
      <c r="M23" s="41"/>
      <c r="N23" s="29"/>
    </row>
    <row r="24" spans="1:14" ht="31.5" customHeight="1">
      <c r="A24" s="29" t="s">
        <v>400</v>
      </c>
      <c r="B24" s="29" t="s">
        <v>15</v>
      </c>
      <c r="C24" s="29" t="str">
        <f>A24&amp;B24</f>
        <v>MATE03008B</v>
      </c>
      <c r="D24" s="30" t="str">
        <f>VLOOKUP($C24,Asignaturas!$C$5:$D$261,2,0)</f>
        <v xml:space="preserve">JAVIER FARFÁN NAVARRO / </v>
      </c>
      <c r="E24" s="106" t="s">
        <v>10</v>
      </c>
      <c r="F24" s="23" t="s">
        <v>464</v>
      </c>
      <c r="G24" s="31">
        <v>46129</v>
      </c>
      <c r="H24" s="31">
        <v>46132</v>
      </c>
      <c r="I24" s="23" t="s">
        <v>465</v>
      </c>
      <c r="J24" s="36">
        <f>+Tabla2[[#This Row],[DÍA DE ENTREGA]]+8</f>
        <v>46137</v>
      </c>
      <c r="K24" s="23" t="s">
        <v>466</v>
      </c>
      <c r="L24" s="99">
        <v>4</v>
      </c>
      <c r="M24" s="29"/>
      <c r="N24" s="29"/>
    </row>
    <row r="25" spans="1:14" ht="31.5" customHeight="1">
      <c r="A25" s="29" t="s">
        <v>120</v>
      </c>
      <c r="B25" s="29" t="s">
        <v>15</v>
      </c>
      <c r="C25" s="29" t="str">
        <f>A25&amp;B25</f>
        <v>A1ES1B</v>
      </c>
      <c r="D25" s="30" t="str">
        <f>VLOOKUP($C25,Asignaturas!$C$5:$D$261,2,0)</f>
        <v xml:space="preserve">DIANA LORENA SALAZAR TORRES / </v>
      </c>
      <c r="E25" s="106" t="s">
        <v>10</v>
      </c>
      <c r="F25" s="23" t="s">
        <v>464</v>
      </c>
      <c r="G25" s="31">
        <v>46129</v>
      </c>
      <c r="H25" s="31">
        <v>46132</v>
      </c>
      <c r="I25" s="23" t="s">
        <v>465</v>
      </c>
      <c r="J25" s="36">
        <f>+Tabla2[[#This Row],[DÍA DE ENTREGA]]+8</f>
        <v>46137</v>
      </c>
      <c r="K25" s="23" t="s">
        <v>466</v>
      </c>
      <c r="L25" s="99">
        <v>1</v>
      </c>
      <c r="M25" s="29"/>
      <c r="N25" s="29"/>
    </row>
    <row r="26" spans="1:14" ht="31.5" customHeight="1">
      <c r="A26" s="29" t="s">
        <v>120</v>
      </c>
      <c r="B26" s="29" t="s">
        <v>7</v>
      </c>
      <c r="C26" s="29" t="str">
        <f>A26&amp;B26</f>
        <v>A1ES1A</v>
      </c>
      <c r="D26" s="30" t="str">
        <f>VLOOKUP($C26,Asignaturas!$C$5:$D$261,2,0)</f>
        <v>RICARDO ALBERTO ORMEÑO SÁNCHEZ /</v>
      </c>
      <c r="E26" s="106" t="s">
        <v>10</v>
      </c>
      <c r="F26" s="23" t="s">
        <v>464</v>
      </c>
      <c r="G26" s="31">
        <v>46129</v>
      </c>
      <c r="H26" s="31">
        <v>46132</v>
      </c>
      <c r="I26" s="23" t="s">
        <v>465</v>
      </c>
      <c r="J26" s="36">
        <f>+Tabla2[[#This Row],[DÍA DE ENTREGA]]+8</f>
        <v>46137</v>
      </c>
      <c r="K26" s="23" t="s">
        <v>466</v>
      </c>
      <c r="L26" s="103">
        <v>0</v>
      </c>
      <c r="M26" s="29"/>
      <c r="N26" s="29"/>
    </row>
    <row r="27" spans="1:14" ht="31.5" customHeight="1">
      <c r="A27" s="29" t="s">
        <v>398</v>
      </c>
      <c r="B27" s="29" t="s">
        <v>18</v>
      </c>
      <c r="C27" s="29" t="str">
        <f>A27&amp;B27</f>
        <v>MATE03007C</v>
      </c>
      <c r="D27" s="30" t="str">
        <f>VLOOKUP($C27,Asignaturas!$C$5:$D$261,2,0)</f>
        <v>CARLOS IMÁN ANCAJIMA /</v>
      </c>
      <c r="E27" s="106" t="s">
        <v>10</v>
      </c>
      <c r="F27" s="23" t="s">
        <v>471</v>
      </c>
      <c r="G27" s="31">
        <v>46129</v>
      </c>
      <c r="H27" s="31">
        <v>46132</v>
      </c>
      <c r="I27" s="23" t="s">
        <v>469</v>
      </c>
      <c r="J27" s="36">
        <f>+Tabla2[[#This Row],[DÍA DE ENTREGA]]+8</f>
        <v>46137</v>
      </c>
      <c r="K27" s="23" t="s">
        <v>466</v>
      </c>
      <c r="L27" s="109">
        <v>0</v>
      </c>
      <c r="M27" s="29"/>
      <c r="N27" s="29"/>
    </row>
    <row r="28" spans="1:14" ht="31.5" customHeight="1">
      <c r="A28" s="29" t="s">
        <v>207</v>
      </c>
      <c r="B28" s="29" t="s">
        <v>7</v>
      </c>
      <c r="C28" s="29" t="str">
        <f>A28&amp;B28</f>
        <v>A1MT2A</v>
      </c>
      <c r="D28" s="30" t="str">
        <f>VLOOKUP($C28,Asignaturas!$C$5:$D$261,2,0)</f>
        <v>JORGE LUIS MARTINEZ PEREZ</v>
      </c>
      <c r="E28" s="106" t="s">
        <v>10</v>
      </c>
      <c r="F28" s="23" t="s">
        <v>471</v>
      </c>
      <c r="G28" s="31">
        <v>46129</v>
      </c>
      <c r="H28" s="31">
        <v>46132</v>
      </c>
      <c r="I28" s="23" t="s">
        <v>469</v>
      </c>
      <c r="J28" s="36">
        <f>+Tabla2[[#This Row],[DÍA DE ENTREGA]]+8</f>
        <v>46137</v>
      </c>
      <c r="K28" s="23" t="s">
        <v>466</v>
      </c>
      <c r="L28" s="109">
        <v>0</v>
      </c>
      <c r="M28" s="29"/>
      <c r="N28" s="29"/>
    </row>
    <row r="29" spans="1:14" ht="31.5" customHeight="1">
      <c r="A29" s="29" t="s">
        <v>207</v>
      </c>
      <c r="B29" s="29" t="s">
        <v>15</v>
      </c>
      <c r="C29" s="29" t="str">
        <f>A29&amp;B29</f>
        <v>A1MT2B</v>
      </c>
      <c r="D29" s="30" t="str">
        <f>VLOOKUP($C29,Asignaturas!$C$5:$D$261,2,0)</f>
        <v>JORGE LUIS MARTINEZ PEREZ</v>
      </c>
      <c r="E29" s="106" t="s">
        <v>10</v>
      </c>
      <c r="F29" s="23" t="s">
        <v>471</v>
      </c>
      <c r="G29" s="31">
        <v>46129</v>
      </c>
      <c r="H29" s="31">
        <v>46132</v>
      </c>
      <c r="I29" s="23" t="s">
        <v>469</v>
      </c>
      <c r="J29" s="36">
        <f>+Tabla2[[#This Row],[DÍA DE ENTREGA]]+8</f>
        <v>46137</v>
      </c>
      <c r="K29" s="23" t="s">
        <v>466</v>
      </c>
      <c r="L29" s="109">
        <v>0</v>
      </c>
      <c r="M29" s="29"/>
      <c r="N29" s="29"/>
    </row>
    <row r="30" spans="1:14" ht="31.5" customHeight="1">
      <c r="A30" s="29" t="s">
        <v>424</v>
      </c>
      <c r="B30" s="29" t="s">
        <v>18</v>
      </c>
      <c r="C30" s="29" t="str">
        <f>A30&amp;B30</f>
        <v>MT2C</v>
      </c>
      <c r="D30" s="30" t="str">
        <f>VLOOKUP($C30,Asignaturas!$C$5:$D$261,2,0)</f>
        <v>JORGE LUIS MARTINEZ PEREZ</v>
      </c>
      <c r="E30" s="106" t="s">
        <v>10</v>
      </c>
      <c r="F30" s="23" t="s">
        <v>471</v>
      </c>
      <c r="G30" s="31">
        <v>46129</v>
      </c>
      <c r="H30" s="31">
        <v>46132</v>
      </c>
      <c r="I30" s="23" t="s">
        <v>469</v>
      </c>
      <c r="J30" s="36">
        <f>+Tabla2[[#This Row],[DÍA DE ENTREGA]]+8</f>
        <v>46137</v>
      </c>
      <c r="K30" s="23" t="s">
        <v>466</v>
      </c>
      <c r="L30" s="109">
        <v>0</v>
      </c>
      <c r="M30" s="29"/>
      <c r="N30" s="29"/>
    </row>
    <row r="31" spans="1:14" ht="31.5" customHeight="1">
      <c r="A31" s="29" t="s">
        <v>398</v>
      </c>
      <c r="B31" s="29" t="s">
        <v>7</v>
      </c>
      <c r="C31" s="29" t="str">
        <f>A31&amp;B31</f>
        <v>MATE03007A</v>
      </c>
      <c r="D31" s="30" t="str">
        <f>VLOOKUP($C31,Asignaturas!$C$5:$D$261,2,0)</f>
        <v>CARLOS IMÁN ANCAJIMA /</v>
      </c>
      <c r="E31" s="106" t="s">
        <v>10</v>
      </c>
      <c r="F31" s="23" t="s">
        <v>464</v>
      </c>
      <c r="G31" s="31">
        <v>46130</v>
      </c>
      <c r="H31" s="31">
        <v>46133</v>
      </c>
      <c r="I31" s="23" t="s">
        <v>465</v>
      </c>
      <c r="J31" s="36">
        <f>+Tabla2[[#This Row],[DÍA DE ENTREGA]]+8</f>
        <v>46138</v>
      </c>
      <c r="K31" s="23" t="s">
        <v>466</v>
      </c>
      <c r="L31" s="99">
        <v>1</v>
      </c>
      <c r="M31" s="29"/>
      <c r="N31" s="29"/>
    </row>
    <row r="32" spans="1:14" ht="31.5" customHeight="1">
      <c r="A32" s="29" t="s">
        <v>398</v>
      </c>
      <c r="B32" s="29" t="s">
        <v>15</v>
      </c>
      <c r="C32" s="29" t="str">
        <f>A32&amp;B32</f>
        <v>MATE03007B</v>
      </c>
      <c r="D32" s="30" t="str">
        <f>VLOOKUP($C32,Asignaturas!$C$5:$D$261,2,0)</f>
        <v>CARLOS IMÁN ANCAJIMA /</v>
      </c>
      <c r="E32" s="106" t="s">
        <v>10</v>
      </c>
      <c r="F32" s="23" t="s">
        <v>464</v>
      </c>
      <c r="G32" s="31">
        <v>46130</v>
      </c>
      <c r="H32" s="31">
        <v>46133</v>
      </c>
      <c r="I32" s="23" t="s">
        <v>465</v>
      </c>
      <c r="J32" s="36">
        <f>+Tabla2[[#This Row],[DÍA DE ENTREGA]]+8</f>
        <v>46138</v>
      </c>
      <c r="K32" s="23" t="s">
        <v>466</v>
      </c>
      <c r="L32" s="103">
        <v>0</v>
      </c>
      <c r="M32" s="65"/>
      <c r="N32" s="29"/>
    </row>
    <row r="33" spans="1:14" ht="31.5" customHeight="1">
      <c r="A33" s="29" t="s">
        <v>405</v>
      </c>
      <c r="B33" s="29" t="s">
        <v>7</v>
      </c>
      <c r="C33" s="29" t="str">
        <f>A33&amp;B33</f>
        <v>MATE03010A</v>
      </c>
      <c r="D33" s="30" t="str">
        <f>VLOOKUP($C33,Asignaturas!$C$5:$D$261,2,0)</f>
        <v xml:space="preserve">RANDY JOEL FERNÁNDEZ PALOMINO / </v>
      </c>
      <c r="E33" s="106" t="s">
        <v>10</v>
      </c>
      <c r="F33" s="23" t="s">
        <v>464</v>
      </c>
      <c r="G33" s="31">
        <v>46130</v>
      </c>
      <c r="H33" s="31">
        <v>46133</v>
      </c>
      <c r="I33" s="23" t="s">
        <v>465</v>
      </c>
      <c r="J33" s="36">
        <f>+Tabla2[[#This Row],[DÍA DE ENTREGA]]+8</f>
        <v>46138</v>
      </c>
      <c r="K33" s="23" t="s">
        <v>466</v>
      </c>
      <c r="L33" s="99">
        <v>1</v>
      </c>
      <c r="M33" s="77"/>
      <c r="N33" s="29"/>
    </row>
    <row r="34" spans="1:14" ht="31.5" customHeight="1">
      <c r="A34" s="29" t="s">
        <v>341</v>
      </c>
      <c r="B34" s="29" t="s">
        <v>20</v>
      </c>
      <c r="C34" s="29" t="str">
        <f>A34&amp;B34</f>
        <v>HC1D</v>
      </c>
      <c r="D34" s="30" t="str">
        <f>VLOOKUP($C34,Asignaturas!$C$5:$D$261,2,0)</f>
        <v xml:space="preserve">JOSE LUIS BELLIDO NINA / </v>
      </c>
      <c r="E34" s="106" t="s">
        <v>10</v>
      </c>
      <c r="F34" s="23" t="s">
        <v>464</v>
      </c>
      <c r="G34" s="31">
        <v>46132</v>
      </c>
      <c r="H34" s="31">
        <v>46133</v>
      </c>
      <c r="I34" s="23" t="s">
        <v>465</v>
      </c>
      <c r="J34" s="36">
        <f>+Tabla2[[#This Row],[DÍA DE ENTREGA]]+8</f>
        <v>46140</v>
      </c>
      <c r="K34" s="23" t="s">
        <v>466</v>
      </c>
      <c r="L34" s="99">
        <v>3</v>
      </c>
      <c r="M34" s="29"/>
      <c r="N34" s="29"/>
    </row>
    <row r="35" spans="1:14" ht="31.5" customHeight="1">
      <c r="A35" s="29" t="s">
        <v>414</v>
      </c>
      <c r="B35" s="29" t="s">
        <v>7</v>
      </c>
      <c r="C35" s="29" t="str">
        <f>A35&amp;B35</f>
        <v>MICR03006A</v>
      </c>
      <c r="D35" s="30" t="str">
        <f>VLOOKUP($C35,Asignaturas!$C$5:$D$261,2,0)</f>
        <v xml:space="preserve">VANIA SALAS GARCIA / </v>
      </c>
      <c r="E35" s="106" t="s">
        <v>10</v>
      </c>
      <c r="F35" s="23" t="s">
        <v>464</v>
      </c>
      <c r="G35" s="31">
        <v>46132</v>
      </c>
      <c r="H35" s="31">
        <v>46133</v>
      </c>
      <c r="I35" s="23" t="s">
        <v>465</v>
      </c>
      <c r="J35" s="36">
        <f>+Tabla2[[#This Row],[DÍA DE ENTREGA]]+8</f>
        <v>46140</v>
      </c>
      <c r="K35" s="23" t="s">
        <v>466</v>
      </c>
      <c r="L35" s="103">
        <v>0</v>
      </c>
      <c r="M35" s="29"/>
      <c r="N35" s="29"/>
    </row>
    <row r="36" spans="1:14" ht="31.5" customHeight="1">
      <c r="A36" s="29" t="s">
        <v>202</v>
      </c>
      <c r="B36" s="29" t="s">
        <v>7</v>
      </c>
      <c r="C36" s="29" t="str">
        <f>A36&amp;B36</f>
        <v>A1MT1A</v>
      </c>
      <c r="D36" s="30" t="str">
        <f>VLOOKUP($C36,Asignaturas!$C$5:$D$261,2,0)</f>
        <v>DIANA LORENA SALAZAR TORRES /</v>
      </c>
      <c r="E36" s="106" t="s">
        <v>10</v>
      </c>
      <c r="F36" s="23" t="s">
        <v>464</v>
      </c>
      <c r="G36" s="31">
        <v>46132</v>
      </c>
      <c r="H36" s="31">
        <v>46133</v>
      </c>
      <c r="I36" s="23" t="s">
        <v>465</v>
      </c>
      <c r="J36" s="36">
        <f>+Tabla2[[#This Row],[DÍA DE ENTREGA]]+8</f>
        <v>46140</v>
      </c>
      <c r="K36" s="23" t="s">
        <v>466</v>
      </c>
      <c r="L36" s="109">
        <v>0</v>
      </c>
      <c r="M36" s="29"/>
      <c r="N36" s="29"/>
    </row>
    <row r="37" spans="1:14" ht="31.5" customHeight="1">
      <c r="A37" s="29" t="s">
        <v>202</v>
      </c>
      <c r="B37" s="29" t="s">
        <v>15</v>
      </c>
      <c r="C37" s="29" t="str">
        <f>A37&amp;B37</f>
        <v>A1MT1B</v>
      </c>
      <c r="D37" s="30" t="str">
        <f>VLOOKUP($C37,Asignaturas!$C$5:$D$261,2,0)</f>
        <v>DIANA LORENA SALAZAR TORRES /</v>
      </c>
      <c r="E37" s="106" t="s">
        <v>10</v>
      </c>
      <c r="F37" s="23" t="s">
        <v>464</v>
      </c>
      <c r="G37" s="31">
        <v>46132</v>
      </c>
      <c r="H37" s="31">
        <v>46133</v>
      </c>
      <c r="I37" s="23" t="s">
        <v>465</v>
      </c>
      <c r="J37" s="36">
        <f>+Tabla2[[#This Row],[DÍA DE ENTREGA]]+8</f>
        <v>46140</v>
      </c>
      <c r="K37" s="23" t="s">
        <v>466</v>
      </c>
      <c r="L37" s="99">
        <v>2</v>
      </c>
      <c r="M37" s="29"/>
      <c r="N37" s="29"/>
    </row>
    <row r="38" spans="1:14" ht="31.5" customHeight="1">
      <c r="A38" s="29" t="s">
        <v>69</v>
      </c>
      <c r="B38" s="29" t="s">
        <v>15</v>
      </c>
      <c r="C38" s="29" t="str">
        <f>A38&amp;B38</f>
        <v>A1CC2B</v>
      </c>
      <c r="D38" s="30" t="str">
        <f>VLOOKUP($C38,Asignaturas!$C$5:$D$261,2,0)</f>
        <v xml:space="preserve">SHIRLEY VANESSA TESEN SANDOVAL / </v>
      </c>
      <c r="E38" s="106" t="s">
        <v>10</v>
      </c>
      <c r="F38" s="23" t="s">
        <v>464</v>
      </c>
      <c r="G38" s="31">
        <v>46132</v>
      </c>
      <c r="H38" s="31">
        <v>46133</v>
      </c>
      <c r="I38" s="23" t="s">
        <v>465</v>
      </c>
      <c r="J38" s="36">
        <f>+Tabla2[[#This Row],[DÍA DE ENTREGA]]+8</f>
        <v>46140</v>
      </c>
      <c r="K38" s="23" t="s">
        <v>466</v>
      </c>
      <c r="L38" s="103">
        <v>0</v>
      </c>
      <c r="M38" s="29"/>
      <c r="N38" s="29"/>
    </row>
    <row r="39" spans="1:14" ht="31.5" customHeight="1">
      <c r="A39" s="29" t="s">
        <v>80</v>
      </c>
      <c r="B39" s="29" t="s">
        <v>7</v>
      </c>
      <c r="C39" s="29" t="str">
        <f>A39&amp;B39</f>
        <v>A1CF2A</v>
      </c>
      <c r="D39" s="30" t="str">
        <f>VLOOKUP($C39,Asignaturas!$C$5:$D$261,2,0)</f>
        <v xml:space="preserve">MARLON RAUL ALVIA SIANCAS / </v>
      </c>
      <c r="E39" s="106" t="s">
        <v>10</v>
      </c>
      <c r="F39" s="23" t="s">
        <v>464</v>
      </c>
      <c r="G39" s="31">
        <v>46132</v>
      </c>
      <c r="H39" s="31">
        <v>46133</v>
      </c>
      <c r="I39" s="23" t="s">
        <v>465</v>
      </c>
      <c r="J39" s="36">
        <f>+Tabla2[[#This Row],[DÍA DE ENTREGA]]+8</f>
        <v>46140</v>
      </c>
      <c r="K39" s="23" t="s">
        <v>466</v>
      </c>
      <c r="L39" s="103">
        <v>0</v>
      </c>
      <c r="M39" s="58"/>
      <c r="N39" s="29"/>
    </row>
    <row r="40" spans="1:14" ht="31.5" customHeight="1">
      <c r="A40" s="29" t="s">
        <v>80</v>
      </c>
      <c r="B40" s="29" t="s">
        <v>7</v>
      </c>
      <c r="C40" s="29" t="str">
        <f>A40&amp;B40</f>
        <v>A1CF2A</v>
      </c>
      <c r="D40" s="30" t="str">
        <f>VLOOKUP($C40,Asignaturas!$C$5:$D$261,2,0)</f>
        <v xml:space="preserve">MARLON RAUL ALVIA SIANCAS / </v>
      </c>
      <c r="E40" s="108" t="s">
        <v>30</v>
      </c>
      <c r="F40" s="23" t="s">
        <v>464</v>
      </c>
      <c r="G40" s="31">
        <v>46132</v>
      </c>
      <c r="H40" s="31">
        <v>46133</v>
      </c>
      <c r="I40" s="23" t="s">
        <v>465</v>
      </c>
      <c r="J40" s="36">
        <f>+Tabla2[[#This Row],[DÍA DE ENTREGA]]+8</f>
        <v>46140</v>
      </c>
      <c r="K40" s="23" t="s">
        <v>466</v>
      </c>
      <c r="L40" s="109">
        <v>0</v>
      </c>
      <c r="M40" s="29"/>
      <c r="N40" s="29"/>
    </row>
    <row r="41" spans="1:14" ht="31.5" customHeight="1">
      <c r="A41" s="29" t="s">
        <v>141</v>
      </c>
      <c r="B41" s="29" t="s">
        <v>7</v>
      </c>
      <c r="C41" s="29" t="str">
        <f>A41&amp;B41</f>
        <v>A1FZ3A</v>
      </c>
      <c r="D41" s="30" t="str">
        <f>VLOOKUP($C41,Asignaturas!$C$5:$D$261,2,0)</f>
        <v xml:space="preserve">JORGE EDUARDO GALLO COSTA / </v>
      </c>
      <c r="E41" s="106" t="s">
        <v>10</v>
      </c>
      <c r="F41" s="23" t="s">
        <v>471</v>
      </c>
      <c r="G41" s="31">
        <v>46132</v>
      </c>
      <c r="H41" s="31">
        <v>46133</v>
      </c>
      <c r="I41" s="23" t="s">
        <v>469</v>
      </c>
      <c r="J41" s="36">
        <f>+Tabla2[[#This Row],[DÍA DE ENTREGA]]+8</f>
        <v>46140</v>
      </c>
      <c r="K41" s="23" t="s">
        <v>466</v>
      </c>
      <c r="L41" s="99">
        <v>1</v>
      </c>
      <c r="M41" s="29"/>
      <c r="N41" s="29"/>
    </row>
    <row r="42" spans="1:14" ht="31.5" customHeight="1">
      <c r="A42" s="29" t="s">
        <v>141</v>
      </c>
      <c r="B42" s="29" t="s">
        <v>15</v>
      </c>
      <c r="C42" s="29" t="str">
        <f>A42&amp;B42</f>
        <v>A1FZ3B</v>
      </c>
      <c r="D42" s="30" t="str">
        <f>VLOOKUP($C42,Asignaturas!$C$5:$D$261,2,0)</f>
        <v xml:space="preserve">JORGE EDUARDO GALLO COSTA / </v>
      </c>
      <c r="E42" s="106" t="s">
        <v>10</v>
      </c>
      <c r="F42" s="23" t="s">
        <v>471</v>
      </c>
      <c r="G42" s="31">
        <v>46132</v>
      </c>
      <c r="H42" s="31">
        <v>46133</v>
      </c>
      <c r="I42" s="23" t="s">
        <v>469</v>
      </c>
      <c r="J42" s="36">
        <f>+Tabla2[[#This Row],[DÍA DE ENTREGA]]+8</f>
        <v>46140</v>
      </c>
      <c r="K42" s="23" t="s">
        <v>466</v>
      </c>
      <c r="L42" s="103">
        <v>0</v>
      </c>
      <c r="M42" s="29"/>
      <c r="N42" s="29"/>
    </row>
    <row r="43" spans="1:14" ht="31.5" customHeight="1">
      <c r="A43" s="29" t="s">
        <v>80</v>
      </c>
      <c r="B43" s="29" t="s">
        <v>15</v>
      </c>
      <c r="C43" s="29" t="str">
        <f>A43&amp;B43</f>
        <v>A1CF2B</v>
      </c>
      <c r="D43" s="30" t="str">
        <f>VLOOKUP($C43,Asignaturas!$C$5:$D$261,2,0)</f>
        <v xml:space="preserve">MARLON RAUL ALVIA SIANCAS / </v>
      </c>
      <c r="E43" s="106" t="s">
        <v>10</v>
      </c>
      <c r="F43" s="23" t="s">
        <v>464</v>
      </c>
      <c r="G43" s="31">
        <v>46133</v>
      </c>
      <c r="H43" s="31">
        <v>46134</v>
      </c>
      <c r="I43" s="23" t="s">
        <v>465</v>
      </c>
      <c r="J43" s="36">
        <f>+Tabla2[[#This Row],[DÍA DE ENTREGA]]+8</f>
        <v>46141</v>
      </c>
      <c r="K43" s="23" t="s">
        <v>466</v>
      </c>
      <c r="L43" s="103">
        <v>0</v>
      </c>
      <c r="M43" s="29"/>
      <c r="N43" s="29"/>
    </row>
    <row r="44" spans="1:14" ht="31.5" customHeight="1">
      <c r="A44" s="29" t="s">
        <v>69</v>
      </c>
      <c r="B44" s="29" t="s">
        <v>7</v>
      </c>
      <c r="C44" s="29" t="str">
        <f>A44&amp;B44</f>
        <v>A1CC2A</v>
      </c>
      <c r="D44" s="30" t="str">
        <f>VLOOKUP($C44,Asignaturas!$C$5:$D$261,2,0)</f>
        <v xml:space="preserve">SHIRLEY VANESSA TESEN SANDOVAL / </v>
      </c>
      <c r="E44" s="106" t="s">
        <v>10</v>
      </c>
      <c r="F44" s="23" t="s">
        <v>464</v>
      </c>
      <c r="G44" s="31">
        <v>46133</v>
      </c>
      <c r="H44" s="31">
        <v>46134</v>
      </c>
      <c r="I44" s="23" t="s">
        <v>465</v>
      </c>
      <c r="J44" s="36">
        <f>+Tabla2[[#This Row],[DÍA DE ENTREGA]]+8</f>
        <v>46141</v>
      </c>
      <c r="K44" s="23" t="s">
        <v>466</v>
      </c>
      <c r="L44" s="103">
        <v>0</v>
      </c>
      <c r="M44" s="29"/>
      <c r="N44" s="29"/>
    </row>
    <row r="45" spans="1:14" ht="31.5" customHeight="1">
      <c r="A45" s="29" t="s">
        <v>341</v>
      </c>
      <c r="B45" s="29" t="s">
        <v>347</v>
      </c>
      <c r="C45" s="29" t="str">
        <f>A45&amp;B45</f>
        <v>HC1E</v>
      </c>
      <c r="D45" s="30" t="str">
        <f>VLOOKUP($C45,Asignaturas!$C$5:$D$261,2,0)</f>
        <v xml:space="preserve">JOSE LUIS BELLIDO NINA / </v>
      </c>
      <c r="E45" s="106" t="s">
        <v>10</v>
      </c>
      <c r="F45" s="23" t="s">
        <v>464</v>
      </c>
      <c r="G45" s="31">
        <v>46133</v>
      </c>
      <c r="H45" s="31">
        <v>46134</v>
      </c>
      <c r="I45" s="23" t="s">
        <v>465</v>
      </c>
      <c r="J45" s="36">
        <f>+Tabla2[[#This Row],[DÍA DE ENTREGA]]+8</f>
        <v>46141</v>
      </c>
      <c r="K45" s="23" t="s">
        <v>466</v>
      </c>
      <c r="L45" s="99">
        <v>2</v>
      </c>
      <c r="M45" s="58"/>
      <c r="N45" s="29"/>
    </row>
    <row r="46" spans="1:14" ht="31.5" customHeight="1">
      <c r="A46" s="29" t="s">
        <v>144</v>
      </c>
      <c r="B46" s="29" t="s">
        <v>15</v>
      </c>
      <c r="C46" s="29" t="str">
        <f>A46&amp;B46</f>
        <v>A1FZ4B</v>
      </c>
      <c r="D46" s="30" t="str">
        <f>VLOOKUP($C46,Asignaturas!$C$5:$D$261,2,0)</f>
        <v xml:space="preserve">BRENDA SILUPÚ GARCÉS / SERGIO DAVID REYES LANDA / </v>
      </c>
      <c r="E46" s="106" t="s">
        <v>10</v>
      </c>
      <c r="F46" s="23" t="s">
        <v>464</v>
      </c>
      <c r="G46" s="31">
        <v>46132</v>
      </c>
      <c r="H46" s="31">
        <v>46133</v>
      </c>
      <c r="I46" s="23" t="s">
        <v>465</v>
      </c>
      <c r="J46" s="36">
        <f>+Tabla2[[#This Row],[DÍA DE ENTREGA]]+8</f>
        <v>46140</v>
      </c>
      <c r="K46" s="23" t="s">
        <v>466</v>
      </c>
      <c r="L46" s="103">
        <v>0</v>
      </c>
      <c r="M46" s="29"/>
      <c r="N46" s="29"/>
    </row>
    <row r="47" spans="1:14" ht="31.5" customHeight="1">
      <c r="A47" s="29" t="s">
        <v>223</v>
      </c>
      <c r="B47" s="29" t="s">
        <v>7</v>
      </c>
      <c r="C47" s="29" t="str">
        <f>A47&amp;B47</f>
        <v>A1PRMA</v>
      </c>
      <c r="D47" s="30" t="str">
        <f>VLOOKUP($C47,Asignaturas!$C$5:$D$261,2,0)</f>
        <v>FRANCISCO JAVIER CHAPILLIQUEN ZAPATA /</v>
      </c>
      <c r="E47" s="110" t="s">
        <v>35</v>
      </c>
      <c r="F47" s="23" t="s">
        <v>471</v>
      </c>
      <c r="G47" s="31">
        <v>46133</v>
      </c>
      <c r="H47" s="31">
        <v>46134</v>
      </c>
      <c r="I47" s="23" t="s">
        <v>469</v>
      </c>
      <c r="J47" s="36">
        <f>+Tabla2[[#This Row],[DÍA DE ENTREGA]]+8</f>
        <v>46141</v>
      </c>
      <c r="K47" s="23" t="s">
        <v>468</v>
      </c>
      <c r="L47" s="103">
        <v>0</v>
      </c>
      <c r="M47" s="29"/>
      <c r="N47" s="29"/>
    </row>
    <row r="48" spans="1:14" ht="31.5" customHeight="1">
      <c r="A48" s="29" t="s">
        <v>315</v>
      </c>
      <c r="B48" s="29" t="s">
        <v>18</v>
      </c>
      <c r="C48" s="29" t="str">
        <f>A48&amp;B48</f>
        <v>ETCC</v>
      </c>
      <c r="D48" s="30" t="str">
        <f>VLOOKUP($C48,Asignaturas!$C$5:$D$261,2,0)</f>
        <v>ZHENIA DJANIRA APARICIO ALDANA /</v>
      </c>
      <c r="E48" s="106" t="s">
        <v>10</v>
      </c>
      <c r="F48" s="23" t="s">
        <v>471</v>
      </c>
      <c r="G48" s="31">
        <v>46133</v>
      </c>
      <c r="H48" s="31">
        <v>46134</v>
      </c>
      <c r="I48" s="23" t="s">
        <v>469</v>
      </c>
      <c r="J48" s="36">
        <f>+Tabla2[[#This Row],[DÍA DE ENTREGA]]+8</f>
        <v>46141</v>
      </c>
      <c r="K48" s="23" t="s">
        <v>466</v>
      </c>
      <c r="L48" s="99">
        <v>1</v>
      </c>
      <c r="M48" s="29"/>
      <c r="N48" s="29"/>
    </row>
    <row r="49" spans="1:14" ht="31.5" customHeight="1">
      <c r="A49" s="29" t="s">
        <v>427</v>
      </c>
      <c r="B49" s="29" t="s">
        <v>7</v>
      </c>
      <c r="C49" s="29" t="str">
        <f>A49&amp;B49</f>
        <v>PSOA</v>
      </c>
      <c r="D49" s="30" t="str">
        <f>VLOOKUP($C49,Asignaturas!$C$5:$D$261,2,0)</f>
        <v>GENARA CASTILLO CÓRDOVA /</v>
      </c>
      <c r="E49" s="106" t="s">
        <v>10</v>
      </c>
      <c r="F49" s="23" t="s">
        <v>464</v>
      </c>
      <c r="G49" s="31">
        <v>46134</v>
      </c>
      <c r="H49" s="31">
        <v>46135</v>
      </c>
      <c r="I49" s="23" t="s">
        <v>465</v>
      </c>
      <c r="J49" s="36">
        <f>+Tabla2[[#This Row],[DÍA DE ENTREGA]]+8</f>
        <v>46142</v>
      </c>
      <c r="K49" s="23" t="s">
        <v>468</v>
      </c>
      <c r="L49" s="103">
        <v>0</v>
      </c>
      <c r="M49" s="29"/>
      <c r="N49" s="29"/>
    </row>
    <row r="50" spans="1:14" ht="31.5" customHeight="1">
      <c r="A50" s="29" t="s">
        <v>341</v>
      </c>
      <c r="B50" s="29" t="s">
        <v>7</v>
      </c>
      <c r="C50" s="29" t="str">
        <f>A50&amp;B50</f>
        <v>HC1A</v>
      </c>
      <c r="D50" s="30" t="str">
        <f>VLOOKUP($C50,Asignaturas!$C$5:$D$261,2,0)</f>
        <v>CRISTINA VARGAS PACHECO /</v>
      </c>
      <c r="E50" s="106" t="s">
        <v>10</v>
      </c>
      <c r="F50" s="23" t="s">
        <v>464</v>
      </c>
      <c r="G50" s="31">
        <v>46134</v>
      </c>
      <c r="H50" s="31">
        <v>46135</v>
      </c>
      <c r="I50" s="23" t="s">
        <v>465</v>
      </c>
      <c r="J50" s="36">
        <f>+Tabla2[[#This Row],[DÍA DE ENTREGA]]+8</f>
        <v>46142</v>
      </c>
      <c r="K50" s="23" t="s">
        <v>466</v>
      </c>
      <c r="L50" s="103">
        <v>0</v>
      </c>
      <c r="M50" s="29"/>
      <c r="N50" s="29"/>
    </row>
    <row r="51" spans="1:14" ht="31.5" customHeight="1">
      <c r="A51" s="29" t="s">
        <v>427</v>
      </c>
      <c r="B51" s="29" t="s">
        <v>15</v>
      </c>
      <c r="C51" s="29" t="str">
        <f>A51&amp;B51</f>
        <v>PSOB</v>
      </c>
      <c r="D51" s="30" t="str">
        <f>VLOOKUP($C51,Asignaturas!$C$5:$D$261,2,0)</f>
        <v xml:space="preserve">DAVID TELLEZ MAQUEO / </v>
      </c>
      <c r="E51" s="106" t="s">
        <v>10</v>
      </c>
      <c r="F51" s="23" t="s">
        <v>464</v>
      </c>
      <c r="G51" s="31">
        <v>46134</v>
      </c>
      <c r="H51" s="31">
        <v>46135</v>
      </c>
      <c r="I51" s="23" t="s">
        <v>465</v>
      </c>
      <c r="J51" s="36">
        <f>+Tabla2[[#This Row],[DÍA DE ENTREGA]]+8</f>
        <v>46142</v>
      </c>
      <c r="K51" s="23" t="s">
        <v>466</v>
      </c>
      <c r="L51" s="103">
        <v>0</v>
      </c>
      <c r="M51" s="29"/>
      <c r="N51" s="29"/>
    </row>
    <row r="52" spans="1:14" ht="31.5" customHeight="1">
      <c r="A52" s="29" t="s">
        <v>341</v>
      </c>
      <c r="B52" s="29" t="s">
        <v>15</v>
      </c>
      <c r="C52" s="29" t="str">
        <f>A52&amp;B52</f>
        <v>HC1B</v>
      </c>
      <c r="D52" s="30" t="str">
        <f>VLOOKUP($C52,Asignaturas!$C$5:$D$261,2,0)</f>
        <v>BERTHA JULISSA GUTIÉRREZ RIVAS DE VELEZMORO /</v>
      </c>
      <c r="E52" s="106" t="s">
        <v>10</v>
      </c>
      <c r="F52" s="23" t="s">
        <v>464</v>
      </c>
      <c r="G52" s="31">
        <v>46134</v>
      </c>
      <c r="H52" s="31">
        <v>46135</v>
      </c>
      <c r="I52" s="23" t="s">
        <v>465</v>
      </c>
      <c r="J52" s="36">
        <f>+Tabla2[[#This Row],[DÍA DE ENTREGA]]+8</f>
        <v>46142</v>
      </c>
      <c r="K52" s="23" t="s">
        <v>466</v>
      </c>
      <c r="L52" s="103">
        <v>0</v>
      </c>
      <c r="M52" s="29"/>
      <c r="N52" s="29"/>
    </row>
    <row r="53" spans="1:14" ht="31.5" customHeight="1">
      <c r="A53" s="29" t="s">
        <v>245</v>
      </c>
      <c r="B53" s="29" t="s">
        <v>7</v>
      </c>
      <c r="C53" s="29" t="str">
        <f>A53&amp;B53</f>
        <v>CF5A</v>
      </c>
      <c r="D53" s="30" t="str">
        <f>VLOOKUP($C53,Asignaturas!$C$5:$D$261,2,0)</f>
        <v>MARÍA JESUS FARFÁN / IVETTE NUÑEZ LAGUNA</v>
      </c>
      <c r="E53" s="106" t="s">
        <v>10</v>
      </c>
      <c r="F53" s="23" t="s">
        <v>464</v>
      </c>
      <c r="G53" s="31">
        <v>46132</v>
      </c>
      <c r="H53" s="31">
        <v>46133</v>
      </c>
      <c r="I53" s="23" t="s">
        <v>465</v>
      </c>
      <c r="J53" s="36">
        <f>+Tabla2[[#This Row],[DÍA DE ENTREGA]]+8</f>
        <v>46140</v>
      </c>
      <c r="K53" s="23" t="s">
        <v>466</v>
      </c>
      <c r="L53" s="103">
        <v>0</v>
      </c>
      <c r="M53" s="44"/>
      <c r="N53" s="29"/>
    </row>
    <row r="54" spans="1:14" ht="31.5" customHeight="1">
      <c r="A54" s="29" t="s">
        <v>135</v>
      </c>
      <c r="B54" s="29" t="s">
        <v>7</v>
      </c>
      <c r="C54" s="29" t="str">
        <f>A54&amp;B54</f>
        <v>A1FZ1A</v>
      </c>
      <c r="D54" s="30" t="str">
        <f>VLOOKUP($C54,Asignaturas!$C$5:$D$261,2,0)</f>
        <v xml:space="preserve">JUAN RICARDO MATÍAS PALMA / </v>
      </c>
      <c r="E54" s="106" t="s">
        <v>10</v>
      </c>
      <c r="F54" s="23" t="s">
        <v>464</v>
      </c>
      <c r="G54" s="31">
        <v>46133</v>
      </c>
      <c r="H54" s="31">
        <v>46134</v>
      </c>
      <c r="I54" s="23" t="s">
        <v>465</v>
      </c>
      <c r="J54" s="36">
        <f>+Tabla2[[#This Row],[DÍA DE ENTREGA]]+8</f>
        <v>46141</v>
      </c>
      <c r="K54" s="23" t="s">
        <v>466</v>
      </c>
      <c r="L54" s="22">
        <v>3</v>
      </c>
      <c r="M54" s="29" t="s">
        <v>470</v>
      </c>
      <c r="N54" s="29"/>
    </row>
    <row r="55" spans="1:14" ht="31.5" customHeight="1">
      <c r="A55" s="29" t="s">
        <v>412</v>
      </c>
      <c r="B55" s="29" t="s">
        <v>7</v>
      </c>
      <c r="C55" s="29" t="str">
        <f>A55&amp;B55</f>
        <v>MICR03005A</v>
      </c>
      <c r="D55" s="30" t="str">
        <f>VLOOKUP($C55,Asignaturas!$C$5:$D$261,2,0)</f>
        <v xml:space="preserve">ALFONSO GUILLERMO DULANTO RISHING / </v>
      </c>
      <c r="E55" s="106" t="s">
        <v>10</v>
      </c>
      <c r="F55" s="23" t="s">
        <v>464</v>
      </c>
      <c r="G55" s="31">
        <v>46130</v>
      </c>
      <c r="H55" s="31">
        <v>46133</v>
      </c>
      <c r="I55" s="23" t="s">
        <v>465</v>
      </c>
      <c r="J55" s="36">
        <f>+Tabla2[[#This Row],[DÍA DE ENTREGA]]+8</f>
        <v>46138</v>
      </c>
      <c r="K55" s="23" t="s">
        <v>466</v>
      </c>
      <c r="L55" s="22">
        <v>6</v>
      </c>
      <c r="M55" s="29" t="s">
        <v>470</v>
      </c>
      <c r="N55" s="29"/>
    </row>
    <row r="56" spans="1:14" ht="31.5" customHeight="1">
      <c r="A56" s="29" t="s">
        <v>379</v>
      </c>
      <c r="B56" s="29" t="s">
        <v>7</v>
      </c>
      <c r="C56" s="29" t="str">
        <f>A56&amp;B56</f>
        <v>M4DSA</v>
      </c>
      <c r="D56" s="30" t="str">
        <f>VLOOKUP($C56,Asignaturas!$C$5:$D$261,2,0)</f>
        <v xml:space="preserve">LOURDES RENATA CORONADO GOMEZ / </v>
      </c>
      <c r="E56" s="110" t="s">
        <v>114</v>
      </c>
      <c r="F56" s="23" t="s">
        <v>464</v>
      </c>
      <c r="G56" s="31">
        <v>46135</v>
      </c>
      <c r="H56" s="31">
        <v>46136</v>
      </c>
      <c r="I56" s="23" t="s">
        <v>465</v>
      </c>
      <c r="J56" s="36">
        <f>+Tabla2[[#This Row],[DÍA DE ENTREGA]]+11</f>
        <v>46146</v>
      </c>
      <c r="K56" s="23" t="s">
        <v>468</v>
      </c>
      <c r="L56" s="103">
        <v>0</v>
      </c>
      <c r="M56" s="78"/>
      <c r="N56" s="29"/>
    </row>
    <row r="57" spans="1:14" ht="31.5" customHeight="1">
      <c r="A57" s="29" t="s">
        <v>63</v>
      </c>
      <c r="B57" s="29" t="s">
        <v>7</v>
      </c>
      <c r="C57" s="29" t="str">
        <f>A57&amp;B57</f>
        <v>A1CC1A</v>
      </c>
      <c r="D57" s="30" t="str">
        <f>VLOOKUP($C57,Asignaturas!$C$5:$D$261,2,0)</f>
        <v xml:space="preserve">JORGE ARMANDO SANCHEZ FARFAN / </v>
      </c>
      <c r="E57" s="108" t="s">
        <v>35</v>
      </c>
      <c r="F57" s="23" t="s">
        <v>464</v>
      </c>
      <c r="G57" s="31">
        <v>46135</v>
      </c>
      <c r="H57" s="31">
        <v>46136</v>
      </c>
      <c r="I57" s="23" t="s">
        <v>465</v>
      </c>
      <c r="J57" s="36">
        <f>+Tabla2[[#This Row],[DÍA DE ENTREGA]]+11</f>
        <v>46146</v>
      </c>
      <c r="K57" s="23" t="s">
        <v>466</v>
      </c>
      <c r="L57" s="103">
        <v>0</v>
      </c>
      <c r="M57" s="78"/>
      <c r="N57" s="29"/>
    </row>
    <row r="58" spans="1:14" ht="31.5" customHeight="1">
      <c r="A58" s="29" t="s">
        <v>174</v>
      </c>
      <c r="B58" s="29" t="s">
        <v>7</v>
      </c>
      <c r="C58" s="29" t="str">
        <f>A58&amp;B58</f>
        <v>A1MK1A</v>
      </c>
      <c r="D58" s="30" t="str">
        <f>VLOOKUP($C58,Asignaturas!$C$5:$D$261,2,0)</f>
        <v xml:space="preserve">GONZALO GUILLERMO AUGUSTO VOYSEST / </v>
      </c>
      <c r="E58" s="106" t="s">
        <v>10</v>
      </c>
      <c r="F58" s="23" t="s">
        <v>464</v>
      </c>
      <c r="G58" s="31">
        <v>46132</v>
      </c>
      <c r="H58" s="31">
        <v>46133</v>
      </c>
      <c r="I58" s="23" t="s">
        <v>465</v>
      </c>
      <c r="J58" s="36">
        <f>+Tabla2[[#This Row],[DÍA DE ENTREGA]]+8</f>
        <v>46140</v>
      </c>
      <c r="K58" s="23" t="s">
        <v>466</v>
      </c>
      <c r="L58" s="103">
        <v>0</v>
      </c>
      <c r="M58" s="58"/>
      <c r="N58" s="29"/>
    </row>
    <row r="59" spans="1:14" ht="31.5" customHeight="1">
      <c r="A59" s="29" t="s">
        <v>232</v>
      </c>
      <c r="B59" s="29" t="s">
        <v>7</v>
      </c>
      <c r="C59" s="29" t="str">
        <f>A59&amp;B59</f>
        <v>AF1A</v>
      </c>
      <c r="D59" s="30" t="str">
        <f>VLOOKUP($C59,Asignaturas!$C$5:$D$261,2,0)</f>
        <v xml:space="preserve">CLAUDIA MARÍA RIVERA TÁVARA / </v>
      </c>
      <c r="E59" s="110" t="s">
        <v>10</v>
      </c>
      <c r="F59" s="23" t="s">
        <v>471</v>
      </c>
      <c r="G59" s="31">
        <v>46134</v>
      </c>
      <c r="H59" s="31">
        <v>46135</v>
      </c>
      <c r="I59" s="23" t="s">
        <v>469</v>
      </c>
      <c r="J59" s="36">
        <f>+Tabla2[[#This Row],[DÍA DE ENTREGA]]+8</f>
        <v>46142</v>
      </c>
      <c r="K59" s="23" t="s">
        <v>466</v>
      </c>
      <c r="L59" s="103">
        <v>0</v>
      </c>
      <c r="M59" s="29"/>
      <c r="N59" s="29"/>
    </row>
    <row r="60" spans="1:14" ht="31.5" customHeight="1">
      <c r="A60" s="29" t="s">
        <v>180</v>
      </c>
      <c r="B60" s="29" t="s">
        <v>15</v>
      </c>
      <c r="C60" s="29" t="str">
        <f>A60&amp;B60</f>
        <v>A1MK3B</v>
      </c>
      <c r="D60" s="30" t="str">
        <f>VLOOKUP($C60,Asignaturas!$C$5:$D$261,2,0)</f>
        <v xml:space="preserve">ANA LUCÍA MARTÍNEZ AZCÁRATE / </v>
      </c>
      <c r="E60" s="110" t="s">
        <v>472</v>
      </c>
      <c r="F60" s="23" t="s">
        <v>464</v>
      </c>
      <c r="G60" s="31">
        <v>46135</v>
      </c>
      <c r="H60" s="31">
        <v>46136</v>
      </c>
      <c r="I60" s="23" t="s">
        <v>465</v>
      </c>
      <c r="J60" s="36">
        <f>+Tabla2[[#This Row],[DÍA DE ENTREGA]]+11</f>
        <v>46146</v>
      </c>
      <c r="K60" s="23" t="s">
        <v>468</v>
      </c>
      <c r="L60" s="103">
        <v>0</v>
      </c>
      <c r="M60" s="78"/>
      <c r="N60" s="29"/>
    </row>
    <row r="61" spans="1:14" ht="31.5" customHeight="1">
      <c r="A61" s="29" t="s">
        <v>138</v>
      </c>
      <c r="B61" s="29" t="s">
        <v>7</v>
      </c>
      <c r="C61" s="29" t="str">
        <f>A61&amp;B61</f>
        <v>A1FZ2A</v>
      </c>
      <c r="D61" s="30" t="str">
        <f>VLOOKUP($C61,Asignaturas!$C$5:$D$261,2,0)</f>
        <v>RAFAEL ANTONIO VALERA MORENO /</v>
      </c>
      <c r="E61" s="106" t="s">
        <v>10</v>
      </c>
      <c r="F61" s="23" t="s">
        <v>464</v>
      </c>
      <c r="G61" s="31">
        <v>46135</v>
      </c>
      <c r="H61" s="31">
        <v>46136</v>
      </c>
      <c r="I61" s="23" t="s">
        <v>465</v>
      </c>
      <c r="J61" s="36">
        <f>+Tabla2[[#This Row],[DÍA DE ENTREGA]]+11</f>
        <v>46146</v>
      </c>
      <c r="K61" s="23" t="s">
        <v>468</v>
      </c>
      <c r="L61" s="99">
        <v>1</v>
      </c>
      <c r="M61" s="29"/>
      <c r="N61" s="29"/>
    </row>
    <row r="62" spans="1:14" ht="31.5" customHeight="1">
      <c r="A62" s="29" t="s">
        <v>138</v>
      </c>
      <c r="B62" s="29" t="s">
        <v>15</v>
      </c>
      <c r="C62" s="29" t="str">
        <f>A62&amp;B62</f>
        <v>A1FZ2B</v>
      </c>
      <c r="D62" s="30" t="str">
        <f>VLOOKUP($C62,Asignaturas!$C$5:$D$261,2,0)</f>
        <v>RAFAEL ANTONIO VALERA MORENO /</v>
      </c>
      <c r="E62" s="106" t="s">
        <v>10</v>
      </c>
      <c r="F62" s="23" t="s">
        <v>464</v>
      </c>
      <c r="G62" s="31">
        <v>46135</v>
      </c>
      <c r="H62" s="31">
        <v>46136</v>
      </c>
      <c r="I62" s="23" t="s">
        <v>465</v>
      </c>
      <c r="J62" s="36">
        <f>+Tabla2[[#This Row],[DÍA DE ENTREGA]]+11</f>
        <v>46146</v>
      </c>
      <c r="K62" s="23" t="s">
        <v>468</v>
      </c>
      <c r="L62" s="99">
        <v>1</v>
      </c>
      <c r="M62" s="29"/>
      <c r="N62" s="29"/>
    </row>
    <row r="63" spans="1:14" ht="31.5" customHeight="1">
      <c r="A63" s="29" t="s">
        <v>354</v>
      </c>
      <c r="B63" s="29" t="s">
        <v>7</v>
      </c>
      <c r="C63" s="29" t="str">
        <f>A63&amp;B63</f>
        <v>HC3A</v>
      </c>
      <c r="D63" s="30" t="str">
        <f>VLOOKUP($C63,Asignaturas!$C$5:$D$261,2,0)</f>
        <v xml:space="preserve">JAVIER GOMEZ SANCHEZ / </v>
      </c>
      <c r="E63" s="106" t="s">
        <v>10</v>
      </c>
      <c r="F63" s="23" t="s">
        <v>464</v>
      </c>
      <c r="G63" s="31">
        <v>46134</v>
      </c>
      <c r="H63" s="31">
        <v>46135</v>
      </c>
      <c r="I63" s="23" t="s">
        <v>465</v>
      </c>
      <c r="J63" s="36">
        <f>+Tabla2[[#This Row],[DÍA DE ENTREGA]]+8</f>
        <v>46142</v>
      </c>
      <c r="K63" s="23" t="s">
        <v>466</v>
      </c>
      <c r="L63" s="103">
        <v>0</v>
      </c>
      <c r="M63" s="78"/>
      <c r="N63" s="29"/>
    </row>
    <row r="64" spans="1:14" ht="31.5" customHeight="1">
      <c r="A64" s="29" t="s">
        <v>432</v>
      </c>
      <c r="B64" s="29" t="s">
        <v>7</v>
      </c>
      <c r="C64" s="29" t="str">
        <f>A64&amp;B64</f>
        <v>RCOA</v>
      </c>
      <c r="D64" s="30" t="str">
        <f>VLOOKUP($C64,Asignaturas!$C$5:$D$261,2,0)</f>
        <v>FERNANDO ALFREDO RIOFRIO ZUÑIGA /</v>
      </c>
      <c r="E64" s="106" t="s">
        <v>10</v>
      </c>
      <c r="F64" s="23" t="s">
        <v>471</v>
      </c>
      <c r="G64" s="31">
        <v>46135</v>
      </c>
      <c r="H64" s="31">
        <v>46136</v>
      </c>
      <c r="I64" s="23" t="s">
        <v>469</v>
      </c>
      <c r="J64" s="36">
        <f>+Tabla2[[#This Row],[DÍA DE ENTREGA]]+11</f>
        <v>46146</v>
      </c>
      <c r="K64" s="23" t="s">
        <v>468</v>
      </c>
      <c r="L64" s="99">
        <v>1</v>
      </c>
      <c r="M64" s="78"/>
      <c r="N64" s="29"/>
    </row>
    <row r="65" spans="1:14" ht="31.5" customHeight="1">
      <c r="A65" s="29" t="s">
        <v>432</v>
      </c>
      <c r="B65" s="29" t="s">
        <v>18</v>
      </c>
      <c r="C65" s="29" t="str">
        <f>A65&amp;B65</f>
        <v>RCOC</v>
      </c>
      <c r="D65" s="30" t="str">
        <f>VLOOKUP($C65,Asignaturas!$C$5:$D$261,2,0)</f>
        <v>FERNANDO ALFREDO RIOFRIO ZUÑIGA /</v>
      </c>
      <c r="E65" s="106" t="s">
        <v>10</v>
      </c>
      <c r="F65" s="23" t="s">
        <v>471</v>
      </c>
      <c r="G65" s="31">
        <v>46135</v>
      </c>
      <c r="H65" s="31">
        <v>46136</v>
      </c>
      <c r="I65" s="23" t="s">
        <v>469</v>
      </c>
      <c r="J65" s="36">
        <f>+Tabla2[[#This Row],[DÍA DE ENTREGA]]+11</f>
        <v>46146</v>
      </c>
      <c r="K65" s="23" t="s">
        <v>468</v>
      </c>
      <c r="L65" s="103">
        <v>0</v>
      </c>
      <c r="M65" s="30"/>
      <c r="N65" s="29"/>
    </row>
    <row r="66" spans="1:14" ht="31.5" customHeight="1">
      <c r="A66" s="29" t="s">
        <v>74</v>
      </c>
      <c r="B66" s="29" t="s">
        <v>15</v>
      </c>
      <c r="C66" s="29" t="str">
        <f>A66&amp;B66</f>
        <v>A1CF1B</v>
      </c>
      <c r="D66" s="30" t="str">
        <f>VLOOKUP($C66,Asignaturas!$C$5:$D$261,2,0)</f>
        <v xml:space="preserve">MARIA JESÚS FARFÁN MANRIQUE / </v>
      </c>
      <c r="E66" s="106" t="s">
        <v>10</v>
      </c>
      <c r="F66" s="23" t="s">
        <v>464</v>
      </c>
      <c r="G66" s="31">
        <v>46135</v>
      </c>
      <c r="H66" s="31">
        <v>46136</v>
      </c>
      <c r="I66" s="23" t="s">
        <v>465</v>
      </c>
      <c r="J66" s="36">
        <f>+Tabla2[[#This Row],[DÍA DE ENTREGA]]+8</f>
        <v>46143</v>
      </c>
      <c r="K66" s="23" t="s">
        <v>466</v>
      </c>
      <c r="L66" s="99">
        <v>2</v>
      </c>
      <c r="M66" s="29"/>
      <c r="N66" s="29"/>
    </row>
    <row r="67" spans="1:14" ht="31.5" customHeight="1">
      <c r="A67" s="29" t="s">
        <v>135</v>
      </c>
      <c r="B67" s="29" t="s">
        <v>15</v>
      </c>
      <c r="C67" s="29" t="str">
        <f>A67&amp;B67</f>
        <v>A1FZ1B</v>
      </c>
      <c r="D67" s="30" t="str">
        <f>VLOOKUP($C67,Asignaturas!$C$5:$D$261,2,0)</f>
        <v xml:space="preserve">JUAN RICARDO MATÍAS PALMA / </v>
      </c>
      <c r="E67" s="106" t="s">
        <v>10</v>
      </c>
      <c r="F67" s="23" t="s">
        <v>471</v>
      </c>
      <c r="G67" s="31">
        <v>46132</v>
      </c>
      <c r="H67" s="31">
        <v>46133</v>
      </c>
      <c r="I67" s="23" t="s">
        <v>469</v>
      </c>
      <c r="J67" s="36">
        <f>+Tabla2[[#This Row],[DÍA DE ENTREGA]]+8</f>
        <v>46140</v>
      </c>
      <c r="K67" s="23" t="s">
        <v>466</v>
      </c>
      <c r="L67" s="103">
        <v>0</v>
      </c>
      <c r="M67" s="29"/>
      <c r="N67" s="29"/>
    </row>
    <row r="68" spans="1:14" ht="31.5" customHeight="1">
      <c r="A68" s="29" t="s">
        <v>339</v>
      </c>
      <c r="B68" s="29" t="s">
        <v>7</v>
      </c>
      <c r="C68" s="29" t="str">
        <f>A68&amp;B68</f>
        <v>GTHA</v>
      </c>
      <c r="D68" s="30" t="str">
        <f>VLOOKUP($C68,Asignaturas!$C$5:$D$261,2,0)</f>
        <v xml:space="preserve">JUANA MARÍA HUACO GARCÍA / TEO ERNESTO MARTIN HIDALGO CORTES / </v>
      </c>
      <c r="E68" s="106" t="s">
        <v>14</v>
      </c>
      <c r="F68" s="23" t="s">
        <v>464</v>
      </c>
      <c r="G68" s="31">
        <v>46136</v>
      </c>
      <c r="H68" s="31">
        <v>46139</v>
      </c>
      <c r="I68" s="23" t="s">
        <v>465</v>
      </c>
      <c r="J68" s="36">
        <f>+Tabla2[[#This Row],[DÍA DE ENTREGA]]+8</f>
        <v>46144</v>
      </c>
      <c r="K68" s="23" t="s">
        <v>468</v>
      </c>
      <c r="L68" s="103">
        <v>0</v>
      </c>
      <c r="M68" s="78"/>
      <c r="N68" s="29"/>
    </row>
    <row r="69" spans="1:14" ht="31.5" customHeight="1">
      <c r="A69" s="29" t="s">
        <v>354</v>
      </c>
      <c r="B69" s="29" t="s">
        <v>18</v>
      </c>
      <c r="C69" s="29" t="str">
        <f>A69&amp;B69</f>
        <v>HC3C</v>
      </c>
      <c r="D69" s="30" t="str">
        <f>VLOOKUP($C69,Asignaturas!$C$5:$D$261,2,0)</f>
        <v xml:space="preserve">ADRIANA ISABEL LAOS LEVAGGI / </v>
      </c>
      <c r="E69" s="106" t="s">
        <v>10</v>
      </c>
      <c r="F69" s="23" t="s">
        <v>464</v>
      </c>
      <c r="G69" s="31">
        <v>46136</v>
      </c>
      <c r="H69" s="31">
        <v>46139</v>
      </c>
      <c r="I69" s="23" t="s">
        <v>465</v>
      </c>
      <c r="J69" s="36">
        <f>+Tabla2[[#This Row],[DÍA DE ENTREGA]]+8</f>
        <v>46144</v>
      </c>
      <c r="K69" s="23" t="s">
        <v>466</v>
      </c>
      <c r="L69" s="99">
        <f>2+3</f>
        <v>5</v>
      </c>
      <c r="M69" s="78"/>
      <c r="N69" s="29"/>
    </row>
    <row r="70" spans="1:14" ht="31.5" customHeight="1">
      <c r="A70" s="29" t="s">
        <v>144</v>
      </c>
      <c r="B70" s="29" t="s">
        <v>7</v>
      </c>
      <c r="C70" s="29" t="str">
        <f>A70&amp;B70</f>
        <v>A1FZ4A</v>
      </c>
      <c r="D70" s="30" t="str">
        <f>VLOOKUP($C70,Asignaturas!$C$5:$D$261,2,0)</f>
        <v>ALVARO TRESIERRA / SERGIO REYES</v>
      </c>
      <c r="E70" s="106" t="s">
        <v>10</v>
      </c>
      <c r="F70" s="23" t="s">
        <v>471</v>
      </c>
      <c r="G70" s="31">
        <v>46135</v>
      </c>
      <c r="H70" s="31">
        <v>46136</v>
      </c>
      <c r="I70" s="23" t="s">
        <v>469</v>
      </c>
      <c r="J70" s="36">
        <f>+Tabla2[[#This Row],[DÍA DE ENTREGA]]+8</f>
        <v>46143</v>
      </c>
      <c r="K70" s="23" t="s">
        <v>466</v>
      </c>
      <c r="L70" s="103">
        <v>0</v>
      </c>
      <c r="M70" s="29"/>
      <c r="N70" s="29"/>
    </row>
    <row r="71" spans="1:14" ht="31.5" customHeight="1">
      <c r="A71" s="29" t="s">
        <v>255</v>
      </c>
      <c r="B71" s="29" t="s">
        <v>18</v>
      </c>
      <c r="C71" s="29" t="str">
        <f>A71&amp;B71</f>
        <v>DSOC</v>
      </c>
      <c r="D71" s="30" t="str">
        <f>VLOOKUP($C71,Asignaturas!$C$5:$D$261,2,0)</f>
        <v>JOSÉ LUIS CHINGUEL BELTRAN /</v>
      </c>
      <c r="E71" s="106" t="s">
        <v>10</v>
      </c>
      <c r="F71" s="23" t="s">
        <v>471</v>
      </c>
      <c r="G71" s="31">
        <v>46135</v>
      </c>
      <c r="H71" s="31">
        <v>46136</v>
      </c>
      <c r="I71" s="23" t="s">
        <v>469</v>
      </c>
      <c r="J71" s="36">
        <f>+Tabla2[[#This Row],[DÍA DE ENTREGA]]+8</f>
        <v>46143</v>
      </c>
      <c r="K71" s="23" t="s">
        <v>466</v>
      </c>
      <c r="L71" s="99">
        <v>1</v>
      </c>
      <c r="M71" s="29"/>
      <c r="N71" s="29"/>
    </row>
    <row r="72" spans="1:14" ht="31.5" customHeight="1">
      <c r="A72" s="29" t="s">
        <v>308</v>
      </c>
      <c r="B72" s="29" t="s">
        <v>7</v>
      </c>
      <c r="C72" s="29" t="str">
        <f>A72&amp;B72</f>
        <v>ESTA03006A</v>
      </c>
      <c r="D72" s="30" t="str">
        <f>VLOOKUP($C72,Asignaturas!$C$5:$D$261,2,0)</f>
        <v>GERMÁN ANTONIO VEGA ACUÑA /</v>
      </c>
      <c r="E72" s="110" t="s">
        <v>30</v>
      </c>
      <c r="F72" s="23" t="s">
        <v>464</v>
      </c>
      <c r="G72" s="31">
        <v>46135</v>
      </c>
      <c r="H72" s="31">
        <v>46136</v>
      </c>
      <c r="I72" s="23" t="s">
        <v>465</v>
      </c>
      <c r="J72" s="36">
        <f>+Tabla2[[#This Row],[DÍA DE ENTREGA]]+8</f>
        <v>46143</v>
      </c>
      <c r="K72" s="23" t="s">
        <v>466</v>
      </c>
      <c r="L72" s="103">
        <v>0</v>
      </c>
      <c r="M72" s="29"/>
      <c r="N72" s="29"/>
    </row>
    <row r="73" spans="1:14" ht="31.5" customHeight="1">
      <c r="A73" s="29" t="s">
        <v>233</v>
      </c>
      <c r="B73" s="29" t="s">
        <v>7</v>
      </c>
      <c r="C73" s="29" t="str">
        <f>A73&amp;B73</f>
        <v>AF2A</v>
      </c>
      <c r="D73" s="30" t="str">
        <f>VLOOKUP($C73,Asignaturas!$C$5:$D$261,2,0)</f>
        <v xml:space="preserve">CLAUDIA MARÍA RIVERA TÁVARA / </v>
      </c>
      <c r="E73" s="110" t="s">
        <v>10</v>
      </c>
      <c r="F73" s="23" t="s">
        <v>464</v>
      </c>
      <c r="G73" s="31">
        <v>46136</v>
      </c>
      <c r="H73" s="31">
        <v>46139</v>
      </c>
      <c r="I73" s="23" t="s">
        <v>465</v>
      </c>
      <c r="J73" s="36">
        <f>+Tabla2[[#This Row],[DÍA DE ENTREGA]]+8</f>
        <v>46144</v>
      </c>
      <c r="K73" s="23" t="s">
        <v>466</v>
      </c>
      <c r="L73" s="103">
        <v>0</v>
      </c>
      <c r="M73" s="29"/>
      <c r="N73" s="29"/>
    </row>
    <row r="74" spans="1:14" ht="31.5" customHeight="1">
      <c r="A74" s="29" t="s">
        <v>255</v>
      </c>
      <c r="B74" s="29" t="s">
        <v>7</v>
      </c>
      <c r="C74" s="29" t="str">
        <f>A74&amp;B74</f>
        <v>DSOA</v>
      </c>
      <c r="D74" s="30" t="str">
        <f>VLOOKUP($C74,Asignaturas!$C$5:$D$261,2,0)</f>
        <v>RENATO CÁRCAMO SEMINARIO /</v>
      </c>
      <c r="E74" s="106" t="s">
        <v>10</v>
      </c>
      <c r="F74" s="23" t="s">
        <v>471</v>
      </c>
      <c r="G74" s="31">
        <v>46136</v>
      </c>
      <c r="H74" s="31">
        <v>46139</v>
      </c>
      <c r="I74" s="23" t="s">
        <v>469</v>
      </c>
      <c r="J74" s="36">
        <f>+Tabla2[[#This Row],[DÍA DE ENTREGA]]+8</f>
        <v>46144</v>
      </c>
      <c r="K74" s="23" t="s">
        <v>466</v>
      </c>
      <c r="L74" s="99">
        <v>4</v>
      </c>
      <c r="M74" s="29"/>
      <c r="N74" s="29"/>
    </row>
    <row r="75" spans="1:14" ht="31.5" customHeight="1">
      <c r="A75" s="29" t="s">
        <v>255</v>
      </c>
      <c r="B75" s="29" t="s">
        <v>15</v>
      </c>
      <c r="C75" s="29" t="str">
        <f>A75&amp;B75</f>
        <v>DSOB</v>
      </c>
      <c r="D75" s="30" t="str">
        <f>VLOOKUP($C75,Asignaturas!$C$5:$D$261,2,0)</f>
        <v>RENATO CÁRCAMO SEMINARIO /</v>
      </c>
      <c r="E75" s="106" t="s">
        <v>10</v>
      </c>
      <c r="F75" s="23" t="s">
        <v>471</v>
      </c>
      <c r="G75" s="31">
        <v>46136</v>
      </c>
      <c r="H75" s="31">
        <v>46139</v>
      </c>
      <c r="I75" s="23" t="s">
        <v>469</v>
      </c>
      <c r="J75" s="36">
        <f>+Tabla2[[#This Row],[DÍA DE ENTREGA]]+8</f>
        <v>46144</v>
      </c>
      <c r="K75" s="23" t="s">
        <v>468</v>
      </c>
      <c r="L75" s="99">
        <v>2</v>
      </c>
      <c r="M75" s="78"/>
      <c r="N75" s="29"/>
    </row>
    <row r="76" spans="1:14" ht="31.5" customHeight="1">
      <c r="A76" s="29" t="s">
        <v>226</v>
      </c>
      <c r="B76" s="29" t="s">
        <v>7</v>
      </c>
      <c r="C76" s="29" t="str">
        <f>A76&amp;B76</f>
        <v>A1ST1A</v>
      </c>
      <c r="D76" s="30" t="str">
        <f>VLOOKUP($C76,Asignaturas!$C$5:$D$261,2,0)</f>
        <v xml:space="preserve">PATRICIA ELBA SOTO QUIROGA / </v>
      </c>
      <c r="E76" s="106" t="s">
        <v>10</v>
      </c>
      <c r="F76" s="23" t="s">
        <v>471</v>
      </c>
      <c r="G76" s="31">
        <v>46139</v>
      </c>
      <c r="H76" s="31">
        <v>46140</v>
      </c>
      <c r="I76" s="23" t="s">
        <v>469</v>
      </c>
      <c r="J76" s="36">
        <f>+Tabla2[[#This Row],[DÍA DE ENTREGA]]+8</f>
        <v>46147</v>
      </c>
      <c r="K76" s="23" t="s">
        <v>466</v>
      </c>
      <c r="L76" s="103">
        <v>0</v>
      </c>
      <c r="M76" s="30"/>
      <c r="N76" s="29"/>
    </row>
    <row r="77" spans="1:14" ht="31.5" customHeight="1">
      <c r="A77" s="29" t="s">
        <v>212</v>
      </c>
      <c r="B77" s="29" t="s">
        <v>15</v>
      </c>
      <c r="C77" s="29" t="str">
        <f>A77&amp;B77</f>
        <v>A1OP1B</v>
      </c>
      <c r="D77" s="30" t="str">
        <f>VLOOKUP($C77,Asignaturas!$C$5:$D$261,2,0)</f>
        <v xml:space="preserve">EDUARDO ALONSO SANCHEZ RUIZ / </v>
      </c>
      <c r="E77" s="56" t="s">
        <v>10</v>
      </c>
      <c r="F77" s="23" t="s">
        <v>471</v>
      </c>
      <c r="G77" s="31">
        <v>46139</v>
      </c>
      <c r="H77" s="31">
        <v>46140</v>
      </c>
      <c r="I77" s="23" t="s">
        <v>469</v>
      </c>
      <c r="J77" s="36">
        <f>+Tabla2[[#This Row],[DÍA DE ENTREGA]]+8</f>
        <v>46147</v>
      </c>
      <c r="K77" s="23" t="s">
        <v>466</v>
      </c>
      <c r="L77" s="103">
        <v>0</v>
      </c>
      <c r="M77" s="30"/>
      <c r="N77" s="29"/>
    </row>
    <row r="78" spans="1:14" ht="31.5" customHeight="1">
      <c r="A78" s="29" t="s">
        <v>212</v>
      </c>
      <c r="B78" s="29" t="s">
        <v>7</v>
      </c>
      <c r="C78" s="29" t="str">
        <f>A78&amp;B78</f>
        <v>A1OP1A</v>
      </c>
      <c r="D78" s="30" t="str">
        <f>VLOOKUP($C78,Asignaturas!$C$5:$D$261,2,0)</f>
        <v xml:space="preserve">EDUARDO ALONSO SANCHEZ RUIZ / </v>
      </c>
      <c r="E78" s="56" t="s">
        <v>10</v>
      </c>
      <c r="F78" s="23" t="s">
        <v>464</v>
      </c>
      <c r="G78" s="31">
        <v>46140</v>
      </c>
      <c r="H78" s="31">
        <v>46141</v>
      </c>
      <c r="I78" s="23" t="s">
        <v>465</v>
      </c>
      <c r="J78" s="36">
        <f>+Tabla2[[#This Row],[DÍA DE ENTREGA]]+8</f>
        <v>46148</v>
      </c>
      <c r="K78" s="23" t="s">
        <v>468</v>
      </c>
      <c r="L78" s="99">
        <v>1</v>
      </c>
      <c r="M78" s="29"/>
      <c r="N78" s="29"/>
    </row>
    <row r="79" spans="1:14" ht="31.5" customHeight="1">
      <c r="A79" s="29" t="s">
        <v>74</v>
      </c>
      <c r="B79" s="29" t="s">
        <v>7</v>
      </c>
      <c r="C79" s="29" t="str">
        <f>A79&amp;B79</f>
        <v>A1CF1A</v>
      </c>
      <c r="D79" s="30" t="str">
        <f>VLOOKUP($C79,Asignaturas!$C$5:$D$261,2,0)</f>
        <v>MARIA ELENA ARCE ALMENARA /</v>
      </c>
      <c r="E79" s="106" t="s">
        <v>10</v>
      </c>
      <c r="F79" s="23" t="s">
        <v>471</v>
      </c>
      <c r="G79" s="31">
        <v>46141</v>
      </c>
      <c r="H79" s="31">
        <v>46142</v>
      </c>
      <c r="I79" s="23" t="s">
        <v>465</v>
      </c>
      <c r="J79" s="36">
        <f>+Tabla2[[#This Row],[DÍA DE ENTREGA]]+8</f>
        <v>46149</v>
      </c>
      <c r="K79" s="23" t="s">
        <v>468</v>
      </c>
      <c r="L79" s="99">
        <v>2</v>
      </c>
      <c r="M79" s="29" t="s">
        <v>473</v>
      </c>
      <c r="N79" s="29"/>
    </row>
    <row r="80" spans="1:14" ht="31.5" customHeight="1">
      <c r="A80" s="29" t="s">
        <v>111</v>
      </c>
      <c r="B80" s="29" t="s">
        <v>15</v>
      </c>
      <c r="C80" s="29" t="str">
        <f>A80&amp;B80</f>
        <v>A1EC1B</v>
      </c>
      <c r="D80" s="30" t="str">
        <f>VLOOKUP($C80,Asignaturas!$C$5:$D$261,2,0)</f>
        <v>INGRID CECILIA CASANA ORTEGA /</v>
      </c>
      <c r="E80" s="106" t="s">
        <v>14</v>
      </c>
      <c r="F80" s="23" t="s">
        <v>471</v>
      </c>
      <c r="G80" s="31">
        <v>46140</v>
      </c>
      <c r="H80" s="31">
        <v>46141</v>
      </c>
      <c r="I80" s="23" t="s">
        <v>469</v>
      </c>
      <c r="J80" s="36">
        <f>+Tabla2[[#This Row],[DÍA DE ENTREGA]]+8</f>
        <v>46148</v>
      </c>
      <c r="K80" s="23" t="s">
        <v>466</v>
      </c>
      <c r="L80" s="99">
        <v>2</v>
      </c>
      <c r="M80" s="29" t="s">
        <v>473</v>
      </c>
      <c r="N80" s="29"/>
    </row>
    <row r="81" spans="1:14" ht="31.5" customHeight="1">
      <c r="A81" s="29" t="s">
        <v>226</v>
      </c>
      <c r="B81" s="29" t="s">
        <v>15</v>
      </c>
      <c r="C81" s="29" t="str">
        <f>A81&amp;B81</f>
        <v>A1ST1B</v>
      </c>
      <c r="D81" s="30" t="str">
        <f>VLOOKUP($C81,Asignaturas!$C$5:$D$261,2,0)</f>
        <v xml:space="preserve">PATRICIA ELBA SOTO QUIROGA / </v>
      </c>
      <c r="E81" s="106" t="s">
        <v>10</v>
      </c>
      <c r="F81" s="23" t="s">
        <v>471</v>
      </c>
      <c r="G81" s="31">
        <v>46140</v>
      </c>
      <c r="H81" s="31">
        <v>46141</v>
      </c>
      <c r="I81" s="23" t="s">
        <v>469</v>
      </c>
      <c r="J81" s="36">
        <f>+Tabla2[[#This Row],[DÍA DE ENTREGA]]+8</f>
        <v>46148</v>
      </c>
      <c r="K81" s="23" t="s">
        <v>466</v>
      </c>
      <c r="L81" s="99">
        <f>3+1</f>
        <v>4</v>
      </c>
      <c r="M81" s="29"/>
      <c r="N81" s="29"/>
    </row>
    <row r="82" spans="1:14" ht="31.5" customHeight="1">
      <c r="A82" s="29" t="s">
        <v>120</v>
      </c>
      <c r="B82" s="29" t="s">
        <v>15</v>
      </c>
      <c r="C82" s="29" t="str">
        <f>A82&amp;B82</f>
        <v>A1ES1B</v>
      </c>
      <c r="D82" s="30" t="str">
        <f>VLOOKUP($C82,Asignaturas!$C$5:$D$261,2,0)</f>
        <v xml:space="preserve">DIANA LORENA SALAZAR TORRES / </v>
      </c>
      <c r="E82" s="106" t="s">
        <v>14</v>
      </c>
      <c r="F82" s="23" t="s">
        <v>471</v>
      </c>
      <c r="G82" s="31">
        <v>46140</v>
      </c>
      <c r="H82" s="31">
        <v>46141</v>
      </c>
      <c r="I82" s="23" t="s">
        <v>469</v>
      </c>
      <c r="J82" s="36">
        <f>+Tabla2[[#This Row],[DÍA DE ENTREGA]]+8</f>
        <v>46148</v>
      </c>
      <c r="K82" s="23" t="s">
        <v>466</v>
      </c>
      <c r="L82" s="99">
        <v>1</v>
      </c>
      <c r="M82" s="29"/>
      <c r="N82" s="29"/>
    </row>
    <row r="83" spans="1:14" ht="31.5" customHeight="1">
      <c r="A83" s="29" t="s">
        <v>315</v>
      </c>
      <c r="B83" s="29" t="s">
        <v>7</v>
      </c>
      <c r="C83" s="29" t="str">
        <f>A83&amp;B83</f>
        <v>ETCA</v>
      </c>
      <c r="D83" s="30" t="str">
        <f>VLOOKUP($C83,Asignaturas!$C$5:$D$261,2,0)</f>
        <v xml:space="preserve">DAVID TELLEZ MAQUEO / </v>
      </c>
      <c r="E83" s="106" t="s">
        <v>10</v>
      </c>
      <c r="F83" s="23" t="s">
        <v>471</v>
      </c>
      <c r="G83" s="31">
        <v>46140</v>
      </c>
      <c r="H83" s="31">
        <v>46141</v>
      </c>
      <c r="I83" s="23" t="s">
        <v>469</v>
      </c>
      <c r="J83" s="36">
        <f>+Tabla2[[#This Row],[DÍA DE ENTREGA]]+8</f>
        <v>46148</v>
      </c>
      <c r="K83" s="23" t="s">
        <v>466</v>
      </c>
      <c r="L83" s="103">
        <v>0</v>
      </c>
      <c r="M83" s="29"/>
      <c r="N83" s="29"/>
    </row>
    <row r="84" spans="1:14" ht="31.5" customHeight="1">
      <c r="A84" s="29" t="s">
        <v>111</v>
      </c>
      <c r="B84" s="29" t="s">
        <v>7</v>
      </c>
      <c r="C84" s="29" t="str">
        <f>A84&amp;B84</f>
        <v>A1EC1A</v>
      </c>
      <c r="D84" s="30" t="str">
        <f>VLOOKUP($C84,Asignaturas!$C$5:$D$261,2,0)</f>
        <v>INGRID CECILIA CASANA ORTEGA /</v>
      </c>
      <c r="E84" s="106" t="s">
        <v>14</v>
      </c>
      <c r="F84" s="23" t="s">
        <v>471</v>
      </c>
      <c r="G84" s="31">
        <v>46140</v>
      </c>
      <c r="H84" s="31">
        <v>46141</v>
      </c>
      <c r="I84" s="23" t="s">
        <v>469</v>
      </c>
      <c r="J84" s="36">
        <f>+Tabla2[[#This Row],[DÍA DE ENTREGA]]+8</f>
        <v>46148</v>
      </c>
      <c r="K84" s="23" t="s">
        <v>466</v>
      </c>
      <c r="L84" s="99">
        <v>7</v>
      </c>
      <c r="M84" s="29"/>
      <c r="N84" s="29"/>
    </row>
    <row r="85" spans="1:14" ht="31.5" customHeight="1">
      <c r="A85" s="29" t="s">
        <v>162</v>
      </c>
      <c r="B85" s="29" t="s">
        <v>15</v>
      </c>
      <c r="C85" s="29" t="str">
        <f>A85&amp;B85</f>
        <v>A1IPNB</v>
      </c>
      <c r="D85" s="30" t="str">
        <f>VLOOKUP($C85,Asignaturas!$C$5:$D$261,2,0)</f>
        <v xml:space="preserve">WILLIAN ALFREDO REYES CORTES / </v>
      </c>
      <c r="E85" s="106" t="s">
        <v>10</v>
      </c>
      <c r="F85" s="23" t="s">
        <v>471</v>
      </c>
      <c r="G85" s="31">
        <v>46140</v>
      </c>
      <c r="H85" s="31">
        <v>46141</v>
      </c>
      <c r="I85" s="23" t="s">
        <v>469</v>
      </c>
      <c r="J85" s="36">
        <f>+Tabla2[[#This Row],[DÍA DE ENTREGA]]+8</f>
        <v>46148</v>
      </c>
      <c r="K85" s="23" t="s">
        <v>466</v>
      </c>
      <c r="L85" s="103">
        <v>0</v>
      </c>
      <c r="M85" s="29"/>
      <c r="N85" s="29"/>
    </row>
    <row r="86" spans="1:14" ht="31.5" customHeight="1">
      <c r="A86" s="29" t="s">
        <v>132</v>
      </c>
      <c r="B86" s="29" t="s">
        <v>7</v>
      </c>
      <c r="C86" s="29" t="str">
        <f>A86&amp;B86</f>
        <v>A1FP1A</v>
      </c>
      <c r="D86" s="30" t="str">
        <f>VLOOKUP($C86,Asignaturas!$C$5:$D$261,2,0)</f>
        <v xml:space="preserve">WILLIAN ALFREDO REYES CORTES / </v>
      </c>
      <c r="E86" s="106" t="s">
        <v>10</v>
      </c>
      <c r="F86" s="23" t="s">
        <v>471</v>
      </c>
      <c r="G86" s="31">
        <v>46140</v>
      </c>
      <c r="H86" s="31">
        <v>46141</v>
      </c>
      <c r="I86" s="23" t="s">
        <v>469</v>
      </c>
      <c r="J86" s="36">
        <f>+Tabla2[[#This Row],[DÍA DE ENTREGA]]+8</f>
        <v>46148</v>
      </c>
      <c r="K86" s="23" t="s">
        <v>466</v>
      </c>
      <c r="L86" s="103">
        <v>0</v>
      </c>
      <c r="M86" s="29"/>
      <c r="N86" s="29"/>
    </row>
    <row r="87" spans="1:14" ht="31.5" customHeight="1">
      <c r="A87" s="29" t="s">
        <v>132</v>
      </c>
      <c r="B87" s="29" t="s">
        <v>15</v>
      </c>
      <c r="C87" s="29" t="str">
        <f>A87&amp;B87</f>
        <v>A1FP1B</v>
      </c>
      <c r="D87" s="30" t="str">
        <f>VLOOKUP($C87,Asignaturas!$C$5:$D$261,2,0)</f>
        <v xml:space="preserve">WILLIAN ALFREDO REYES CORTES / </v>
      </c>
      <c r="E87" s="106" t="s">
        <v>10</v>
      </c>
      <c r="F87" s="23" t="s">
        <v>471</v>
      </c>
      <c r="G87" s="31">
        <v>46140</v>
      </c>
      <c r="H87" s="31">
        <v>46141</v>
      </c>
      <c r="I87" s="23" t="s">
        <v>469</v>
      </c>
      <c r="J87" s="36">
        <f>+Tabla2[[#This Row],[DÍA DE ENTREGA]]+8</f>
        <v>46148</v>
      </c>
      <c r="K87" s="23" t="s">
        <v>466</v>
      </c>
      <c r="L87" s="103">
        <v>0</v>
      </c>
      <c r="M87" s="29"/>
      <c r="N87" s="29"/>
    </row>
    <row r="88" spans="1:14" ht="31.5" customHeight="1">
      <c r="A88" s="29" t="s">
        <v>306</v>
      </c>
      <c r="B88" s="29" t="s">
        <v>7</v>
      </c>
      <c r="C88" s="29" t="str">
        <f>A88&amp;B88</f>
        <v>ESTA03005A</v>
      </c>
      <c r="D88" s="30" t="str">
        <f>VLOOKUP($C88,Asignaturas!$C$5:$D$261,2,0)</f>
        <v xml:space="preserve">RANDY JOEL FERNÁNDEZ PALOMINO / </v>
      </c>
      <c r="E88" s="106" t="s">
        <v>10</v>
      </c>
      <c r="F88" s="23" t="s">
        <v>471</v>
      </c>
      <c r="G88" s="31">
        <v>46140</v>
      </c>
      <c r="H88" s="31">
        <v>46141</v>
      </c>
      <c r="I88" s="23" t="s">
        <v>469</v>
      </c>
      <c r="J88" s="36">
        <f>+Tabla2[[#This Row],[DÍA DE ENTREGA]]+8</f>
        <v>46148</v>
      </c>
      <c r="K88" s="23" t="s">
        <v>466</v>
      </c>
      <c r="L88" s="99">
        <v>1</v>
      </c>
      <c r="M88" s="29"/>
      <c r="N88" s="29"/>
    </row>
    <row r="89" spans="1:14" ht="31.5" customHeight="1">
      <c r="A89" s="29" t="s">
        <v>210</v>
      </c>
      <c r="B89" s="29" t="s">
        <v>7</v>
      </c>
      <c r="C89" s="29" t="str">
        <f>A89&amp;B89</f>
        <v>A1MT3A</v>
      </c>
      <c r="D89" s="30" t="str">
        <f>VLOOKUP($C89,Asignaturas!$C$5:$D$261,2,0)</f>
        <v xml:space="preserve">JAIME GERARDO VILLASANTE ABRAMONTE / </v>
      </c>
      <c r="E89" s="106" t="s">
        <v>10</v>
      </c>
      <c r="F89" s="23" t="s">
        <v>471</v>
      </c>
      <c r="G89" s="31">
        <v>46140</v>
      </c>
      <c r="H89" s="31">
        <v>46141</v>
      </c>
      <c r="I89" s="23" t="s">
        <v>469</v>
      </c>
      <c r="J89" s="36">
        <f>+Tabla2[[#This Row],[DÍA DE ENTREGA]]+8</f>
        <v>46148</v>
      </c>
      <c r="K89" s="23" t="s">
        <v>466</v>
      </c>
      <c r="L89" s="103">
        <v>0</v>
      </c>
      <c r="M89" s="30"/>
      <c r="N89" s="29"/>
    </row>
    <row r="90" spans="1:14" ht="31.5" customHeight="1">
      <c r="A90" s="29" t="s">
        <v>210</v>
      </c>
      <c r="B90" s="29" t="s">
        <v>15</v>
      </c>
      <c r="C90" s="29" t="str">
        <f>A90&amp;B90</f>
        <v>A1MT3B</v>
      </c>
      <c r="D90" s="30" t="str">
        <f>VLOOKUP($C90,Asignaturas!$C$5:$D$261,2,0)</f>
        <v xml:space="preserve">JAIME GERARDO VILLASANTE ABRAMONTE / </v>
      </c>
      <c r="E90" s="106" t="s">
        <v>10</v>
      </c>
      <c r="F90" s="23" t="s">
        <v>471</v>
      </c>
      <c r="G90" s="31">
        <v>46140</v>
      </c>
      <c r="H90" s="31">
        <v>46141</v>
      </c>
      <c r="I90" s="23" t="s">
        <v>469</v>
      </c>
      <c r="J90" s="36">
        <f>+Tabla2[[#This Row],[DÍA DE ENTREGA]]+8</f>
        <v>46148</v>
      </c>
      <c r="K90" s="23" t="s">
        <v>466</v>
      </c>
      <c r="L90" s="99">
        <v>2</v>
      </c>
      <c r="M90" s="29"/>
      <c r="N90" s="29"/>
    </row>
    <row r="91" spans="1:14" ht="31.5" customHeight="1">
      <c r="A91" s="29" t="s">
        <v>412</v>
      </c>
      <c r="B91" s="29" t="s">
        <v>7</v>
      </c>
      <c r="C91" s="29" t="str">
        <f>A91&amp;B91</f>
        <v>MICR03005A</v>
      </c>
      <c r="D91" s="30" t="str">
        <f>VLOOKUP($C91,Asignaturas!$C$5:$D$261,2,0)</f>
        <v xml:space="preserve">ALFONSO GUILLERMO DULANTO RISHING / </v>
      </c>
      <c r="E91" s="106" t="s">
        <v>10</v>
      </c>
      <c r="F91" s="23" t="s">
        <v>464</v>
      </c>
      <c r="G91" s="31">
        <v>46132</v>
      </c>
      <c r="H91" s="31">
        <v>46133</v>
      </c>
      <c r="I91" s="23" t="s">
        <v>465</v>
      </c>
      <c r="J91" s="36">
        <f>+Tabla2[[#This Row],[DÍA DE ENTREGA]]+8</f>
        <v>46140</v>
      </c>
      <c r="K91" s="23" t="s">
        <v>466</v>
      </c>
      <c r="L91" s="103">
        <v>0</v>
      </c>
      <c r="M91" s="29"/>
      <c r="N91" s="29"/>
    </row>
    <row r="92" spans="1:14" ht="31.5" customHeight="1">
      <c r="A92" s="29" t="s">
        <v>156</v>
      </c>
      <c r="B92" s="29" t="s">
        <v>7</v>
      </c>
      <c r="C92" s="29" t="str">
        <f>A92&amp;B92</f>
        <v>A1GP1A</v>
      </c>
      <c r="D92" s="30" t="str">
        <f>VLOOKUP($C92,Asignaturas!$C$5:$D$261,2,0)</f>
        <v xml:space="preserve">MARTHA MARINA CASAS CASAS / </v>
      </c>
      <c r="E92" s="106" t="s">
        <v>10</v>
      </c>
      <c r="F92" s="23" t="s">
        <v>471</v>
      </c>
      <c r="G92" s="31">
        <v>46140</v>
      </c>
      <c r="H92" s="31">
        <v>46141</v>
      </c>
      <c r="I92" s="23" t="s">
        <v>469</v>
      </c>
      <c r="J92" s="36">
        <f>+Tabla2[[#This Row],[DÍA DE ENTREGA]]+8</f>
        <v>46148</v>
      </c>
      <c r="K92" s="23" t="s">
        <v>466</v>
      </c>
      <c r="L92" s="103">
        <v>0</v>
      </c>
      <c r="M92" s="29"/>
      <c r="N92" s="29"/>
    </row>
    <row r="93" spans="1:14" ht="31.5" customHeight="1">
      <c r="A93" s="29" t="s">
        <v>156</v>
      </c>
      <c r="B93" s="29" t="s">
        <v>15</v>
      </c>
      <c r="C93" s="29" t="str">
        <f>A93&amp;B93</f>
        <v>A1GP1B</v>
      </c>
      <c r="D93" s="30" t="str">
        <f>VLOOKUP($C93,Asignaturas!$C$5:$D$261,2,0)</f>
        <v xml:space="preserve">MARTHA MARINA CASAS CASAS / </v>
      </c>
      <c r="E93" s="106" t="s">
        <v>10</v>
      </c>
      <c r="F93" s="23" t="s">
        <v>471</v>
      </c>
      <c r="G93" s="31">
        <v>46140</v>
      </c>
      <c r="H93" s="31">
        <v>46141</v>
      </c>
      <c r="I93" s="23" t="s">
        <v>469</v>
      </c>
      <c r="J93" s="36">
        <f>+Tabla2[[#This Row],[DÍA DE ENTREGA]]+8</f>
        <v>46148</v>
      </c>
      <c r="K93" s="23" t="s">
        <v>466</v>
      </c>
      <c r="L93" s="99">
        <v>2</v>
      </c>
      <c r="M93" s="29"/>
      <c r="N93" s="29"/>
    </row>
    <row r="94" spans="1:14" ht="31.5" customHeight="1">
      <c r="A94" s="29" t="s">
        <v>107</v>
      </c>
      <c r="B94" s="29" t="s">
        <v>7</v>
      </c>
      <c r="C94" s="29" t="str">
        <f>A94&amp;B94</f>
        <v>A1DPRT9A</v>
      </c>
      <c r="D94" s="30" t="str">
        <f>VLOOKUP($C94,Asignaturas!$C$5:$D$261,2,0)</f>
        <v>MANUEL PRENDES GUARDIOLA /</v>
      </c>
      <c r="E94" s="106" t="s">
        <v>14</v>
      </c>
      <c r="F94" s="23" t="s">
        <v>471</v>
      </c>
      <c r="G94" s="31">
        <v>46140</v>
      </c>
      <c r="H94" s="31">
        <v>46141</v>
      </c>
      <c r="I94" s="23" t="s">
        <v>469</v>
      </c>
      <c r="J94" s="36">
        <f>+Tabla2[[#This Row],[DÍA DE ENTREGA]]+8</f>
        <v>46148</v>
      </c>
      <c r="K94" s="23" t="s">
        <v>466</v>
      </c>
      <c r="L94" s="103">
        <v>0</v>
      </c>
      <c r="M94" s="29"/>
      <c r="N94" s="29"/>
    </row>
    <row r="95" spans="1:14" ht="31.5" customHeight="1">
      <c r="A95" s="29" t="s">
        <v>116</v>
      </c>
      <c r="B95" s="29" t="s">
        <v>7</v>
      </c>
      <c r="C95" s="29" t="str">
        <f>A95&amp;B95</f>
        <v>A1EC2A</v>
      </c>
      <c r="D95" s="30" t="str">
        <f>VLOOKUP($C95,Asignaturas!$C$5:$D$261,2,0)</f>
        <v xml:space="preserve">FRANCISCO LEVI TRUJILLO VARGAS / </v>
      </c>
      <c r="E95" s="106" t="s">
        <v>10</v>
      </c>
      <c r="F95" s="23" t="s">
        <v>464</v>
      </c>
      <c r="G95" s="31">
        <v>46141</v>
      </c>
      <c r="H95" s="31">
        <v>46142</v>
      </c>
      <c r="I95" s="23" t="s">
        <v>465</v>
      </c>
      <c r="J95" s="36">
        <f>+Tabla2[[#This Row],[DÍA DE ENTREGA]]+8</f>
        <v>46149</v>
      </c>
      <c r="K95" s="23" t="s">
        <v>466</v>
      </c>
      <c r="L95" s="99">
        <f>1+1</f>
        <v>2</v>
      </c>
      <c r="M95" s="29"/>
      <c r="N95" s="29"/>
    </row>
    <row r="96" spans="1:14" ht="31.5" customHeight="1">
      <c r="A96" s="29" t="s">
        <v>432</v>
      </c>
      <c r="B96" s="29" t="s">
        <v>15</v>
      </c>
      <c r="C96" s="29" t="str">
        <f>A96&amp;B96</f>
        <v>RCOB</v>
      </c>
      <c r="D96" s="30" t="str">
        <f>VLOOKUP($C96,Asignaturas!$C$5:$D$261,2,0)</f>
        <v>GONZALO ALEJANDRO FLORES CASTRO LINGAN / NAVARRO UBEDA GUILLERMO</v>
      </c>
      <c r="E96" s="106" t="s">
        <v>10</v>
      </c>
      <c r="F96" s="23" t="s">
        <v>464</v>
      </c>
      <c r="G96" s="31">
        <v>46141</v>
      </c>
      <c r="H96" s="31">
        <v>46142</v>
      </c>
      <c r="I96" s="23" t="s">
        <v>465</v>
      </c>
      <c r="J96" s="36">
        <f>+Tabla2[[#This Row],[DÍA DE ENTREGA]]+8</f>
        <v>46149</v>
      </c>
      <c r="K96" s="23" t="s">
        <v>466</v>
      </c>
      <c r="L96" s="103">
        <v>0</v>
      </c>
      <c r="M96" s="29"/>
      <c r="N96" s="29"/>
    </row>
    <row r="97" spans="1:14" ht="31.5" customHeight="1">
      <c r="A97" s="29" t="s">
        <v>63</v>
      </c>
      <c r="B97" s="29" t="s">
        <v>15</v>
      </c>
      <c r="C97" s="29" t="str">
        <f>A97&amp;B97</f>
        <v>A1CC1B</v>
      </c>
      <c r="D97" s="30" t="str">
        <f>VLOOKUP($C97,Asignaturas!$C$5:$D$261,2,0)</f>
        <v xml:space="preserve">YULLIANA MARISED LLAUCE ONTANEDA / </v>
      </c>
      <c r="E97" s="106" t="s">
        <v>10</v>
      </c>
      <c r="F97" s="23" t="s">
        <v>464</v>
      </c>
      <c r="G97" s="31">
        <v>46141</v>
      </c>
      <c r="H97" s="31">
        <v>46142</v>
      </c>
      <c r="I97" s="23" t="s">
        <v>465</v>
      </c>
      <c r="J97" s="36">
        <f>+Tabla2[[#This Row],[DÍA DE ENTREGA]]+8</f>
        <v>46149</v>
      </c>
      <c r="K97" s="23" t="s">
        <v>466</v>
      </c>
      <c r="L97" s="103">
        <v>0</v>
      </c>
      <c r="M97" s="29"/>
      <c r="N97" s="29"/>
    </row>
    <row r="98" spans="1:14" ht="31.5" customHeight="1">
      <c r="A98" s="29" t="s">
        <v>63</v>
      </c>
      <c r="B98" s="29" t="s">
        <v>15</v>
      </c>
      <c r="C98" s="29" t="str">
        <f>A98&amp;B98</f>
        <v>A1CC1B</v>
      </c>
      <c r="D98" s="30" t="str">
        <f>VLOOKUP($C98,Asignaturas!$C$5:$D$261,2,0)</f>
        <v xml:space="preserve">YULLIANA MARISED LLAUCE ONTANEDA / </v>
      </c>
      <c r="E98" s="110" t="s">
        <v>30</v>
      </c>
      <c r="F98" s="23" t="s">
        <v>464</v>
      </c>
      <c r="G98" s="31">
        <v>46141</v>
      </c>
      <c r="H98" s="31">
        <v>46142</v>
      </c>
      <c r="I98" s="23" t="s">
        <v>465</v>
      </c>
      <c r="J98" s="36">
        <f>+Tabla2[[#This Row],[DÍA DE ENTREGA]]+8</f>
        <v>46149</v>
      </c>
      <c r="K98" s="23" t="s">
        <v>466</v>
      </c>
      <c r="L98" s="103">
        <v>0</v>
      </c>
      <c r="M98" s="29"/>
      <c r="N98" s="29"/>
    </row>
    <row r="99" spans="1:14" ht="31.5" customHeight="1">
      <c r="A99" s="29" t="s">
        <v>63</v>
      </c>
      <c r="B99" s="29" t="s">
        <v>15</v>
      </c>
      <c r="C99" s="29" t="str">
        <f>A99&amp;B99</f>
        <v>A1CC1B</v>
      </c>
      <c r="D99" s="30" t="str">
        <f>VLOOKUP($C99,Asignaturas!$C$5:$D$261,2,0)</f>
        <v xml:space="preserve">YULLIANA MARISED LLAUCE ONTANEDA / </v>
      </c>
      <c r="E99" s="110" t="s">
        <v>114</v>
      </c>
      <c r="F99" s="23" t="s">
        <v>464</v>
      </c>
      <c r="G99" s="31">
        <v>46141</v>
      </c>
      <c r="H99" s="31">
        <v>46142</v>
      </c>
      <c r="I99" s="23" t="s">
        <v>465</v>
      </c>
      <c r="J99" s="36">
        <f>+Tabla2[[#This Row],[DÍA DE ENTREGA]]+8</f>
        <v>46149</v>
      </c>
      <c r="K99" s="23" t="s">
        <v>466</v>
      </c>
      <c r="L99" s="103">
        <v>0</v>
      </c>
      <c r="M99" s="29"/>
      <c r="N99" s="29"/>
    </row>
    <row r="100" spans="1:14" ht="31.5" customHeight="1">
      <c r="A100" s="29" t="s">
        <v>403</v>
      </c>
      <c r="B100" s="29" t="s">
        <v>7</v>
      </c>
      <c r="C100" s="29" t="str">
        <f>A100&amp;B100</f>
        <v>MATE03009A</v>
      </c>
      <c r="D100" s="30" t="str">
        <f>VLOOKUP($C100,Asignaturas!$C$5:$D$261,2,0)</f>
        <v>NESTOR FARÍAS / WILLIAN REYES</v>
      </c>
      <c r="E100" s="106" t="s">
        <v>14</v>
      </c>
      <c r="F100" s="23" t="s">
        <v>464</v>
      </c>
      <c r="G100" s="31">
        <v>46141</v>
      </c>
      <c r="H100" s="31">
        <v>46142</v>
      </c>
      <c r="I100" s="23" t="s">
        <v>465</v>
      </c>
      <c r="J100" s="36">
        <f>+Tabla2[[#This Row],[DÍA DE ENTREGA]]+8</f>
        <v>46149</v>
      </c>
      <c r="K100" s="23" t="s">
        <v>468</v>
      </c>
      <c r="L100" s="103">
        <v>0</v>
      </c>
      <c r="M100" s="29"/>
      <c r="N100" s="29"/>
    </row>
    <row r="101" spans="1:14" ht="31.5" customHeight="1">
      <c r="A101" s="29" t="s">
        <v>323</v>
      </c>
      <c r="B101" s="29" t="s">
        <v>7</v>
      </c>
      <c r="C101" s="29" t="str">
        <f>A101&amp;B101</f>
        <v>FINZ03032A</v>
      </c>
      <c r="D101" s="30" t="str">
        <f>VLOOKUP($C101,Asignaturas!$C$5:$D$261,2,0)</f>
        <v xml:space="preserve">BRENDA SILUPÚ GARCÉS / SERGIO DAVID REYES LANDA / </v>
      </c>
      <c r="E101" s="106" t="s">
        <v>14</v>
      </c>
      <c r="F101" s="23" t="s">
        <v>464</v>
      </c>
      <c r="G101" s="31">
        <v>46141</v>
      </c>
      <c r="H101" s="31">
        <v>46142</v>
      </c>
      <c r="I101" s="23" t="s">
        <v>465</v>
      </c>
      <c r="J101" s="36">
        <f>+Tabla2[[#This Row],[DÍA DE ENTREGA]]+8</f>
        <v>46149</v>
      </c>
      <c r="K101" s="23" t="s">
        <v>466</v>
      </c>
      <c r="L101" s="99">
        <v>4</v>
      </c>
      <c r="M101" s="56"/>
      <c r="N101" s="29"/>
    </row>
    <row r="102" spans="1:14" ht="31.5" customHeight="1">
      <c r="A102" s="29" t="s">
        <v>120</v>
      </c>
      <c r="B102" s="29" t="s">
        <v>7</v>
      </c>
      <c r="C102" s="29" t="str">
        <f>A102&amp;B102</f>
        <v>A1ES1A</v>
      </c>
      <c r="D102" s="30" t="str">
        <f>VLOOKUP($C102,Asignaturas!$C$5:$D$261,2,0)</f>
        <v>RICARDO ALBERTO ORMEÑO SÁNCHEZ /</v>
      </c>
      <c r="E102" s="106" t="s">
        <v>14</v>
      </c>
      <c r="F102" s="23" t="s">
        <v>464</v>
      </c>
      <c r="G102" s="31">
        <v>46140</v>
      </c>
      <c r="H102" s="31">
        <v>46141</v>
      </c>
      <c r="I102" s="23" t="s">
        <v>465</v>
      </c>
      <c r="J102" s="36">
        <f>+Tabla2[[#This Row],[DÍA DE ENTREGA]]+8</f>
        <v>46148</v>
      </c>
      <c r="K102" s="23" t="s">
        <v>466</v>
      </c>
      <c r="L102" s="99">
        <v>3</v>
      </c>
      <c r="M102" s="56"/>
      <c r="N102" s="29"/>
    </row>
    <row r="103" spans="1:14" ht="31.5" customHeight="1">
      <c r="A103" s="29" t="s">
        <v>383</v>
      </c>
      <c r="B103" s="29" t="s">
        <v>7</v>
      </c>
      <c r="C103" s="29" t="str">
        <f>A103&amp;B103</f>
        <v>MACR03002A</v>
      </c>
      <c r="D103" s="30" t="str">
        <f>VLOOKUP($C103,Asignaturas!$C$5:$D$261,2,0)</f>
        <v>LUIS ALONSO CASAVERDE ANTÓN /</v>
      </c>
      <c r="E103" s="106" t="s">
        <v>14</v>
      </c>
      <c r="F103" s="23" t="s">
        <v>471</v>
      </c>
      <c r="G103" s="31">
        <v>46140</v>
      </c>
      <c r="H103" s="31">
        <v>46141</v>
      </c>
      <c r="I103" s="23" t="s">
        <v>469</v>
      </c>
      <c r="J103" s="36">
        <f>+Tabla2[[#This Row],[DÍA DE ENTREGA]]+8</f>
        <v>46148</v>
      </c>
      <c r="K103" s="23" t="s">
        <v>466</v>
      </c>
      <c r="L103" s="99">
        <v>16</v>
      </c>
      <c r="M103" s="29"/>
      <c r="N103" s="29"/>
    </row>
    <row r="104" spans="1:14" ht="31.5" customHeight="1">
      <c r="A104" s="29" t="s">
        <v>167</v>
      </c>
      <c r="B104" s="29" t="s">
        <v>15</v>
      </c>
      <c r="C104" s="29" t="str">
        <f>A104&amp;B104</f>
        <v>A1LOGB</v>
      </c>
      <c r="D104" s="30" t="str">
        <f>VLOOKUP($C104,Asignaturas!$C$5:$D$261,2,0)</f>
        <v xml:space="preserve">NESTOR JAVIER FARIAS MORCILLO / </v>
      </c>
      <c r="E104" s="106" t="s">
        <v>10</v>
      </c>
      <c r="F104" s="23" t="s">
        <v>464</v>
      </c>
      <c r="G104" s="31">
        <v>46141</v>
      </c>
      <c r="H104" s="31">
        <v>46142</v>
      </c>
      <c r="I104" s="23" t="s">
        <v>465</v>
      </c>
      <c r="J104" s="36">
        <f>+Tabla2[[#This Row],[DÍA DE ENTREGA]]+8</f>
        <v>46149</v>
      </c>
      <c r="K104" s="23" t="s">
        <v>466</v>
      </c>
      <c r="L104" s="103">
        <v>0</v>
      </c>
      <c r="M104" s="29"/>
      <c r="N104" s="29"/>
    </row>
    <row r="105" spans="1:14" ht="31.5" customHeight="1">
      <c r="A105" s="29" t="s">
        <v>167</v>
      </c>
      <c r="B105" s="29" t="s">
        <v>7</v>
      </c>
      <c r="C105" s="29" t="str">
        <f>A105&amp;B105</f>
        <v>A1LOGA</v>
      </c>
      <c r="D105" s="30" t="str">
        <f>VLOOKUP($C105,Asignaturas!$C$5:$D$261,2,0)</f>
        <v xml:space="preserve">NESTOR JAVIER FARIAS MORCILLO / </v>
      </c>
      <c r="E105" s="106" t="s">
        <v>10</v>
      </c>
      <c r="F105" s="23" t="s">
        <v>464</v>
      </c>
      <c r="G105" s="31">
        <v>46141</v>
      </c>
      <c r="H105" s="31">
        <v>46142</v>
      </c>
      <c r="I105" s="23" t="s">
        <v>465</v>
      </c>
      <c r="J105" s="36">
        <f>+Tabla2[[#This Row],[DÍA DE ENTREGA]]+8</f>
        <v>46149</v>
      </c>
      <c r="K105" s="23" t="s">
        <v>466</v>
      </c>
      <c r="L105" s="99">
        <v>1</v>
      </c>
      <c r="M105" s="29"/>
      <c r="N105" s="29"/>
    </row>
    <row r="106" spans="1:14" ht="31.5" customHeight="1">
      <c r="A106" s="29" t="s">
        <v>315</v>
      </c>
      <c r="B106" s="29" t="s">
        <v>15</v>
      </c>
      <c r="C106" s="29" t="str">
        <f>A106&amp;B106</f>
        <v>ETCB</v>
      </c>
      <c r="D106" s="30" t="str">
        <f>VLOOKUP($C106,Asignaturas!$C$5:$D$261,2,0)</f>
        <v>DAVID ESPINOZA SOMOCURCIO /</v>
      </c>
      <c r="E106" s="106" t="s">
        <v>10</v>
      </c>
      <c r="F106" s="23" t="s">
        <v>464</v>
      </c>
      <c r="G106" s="31">
        <v>46141</v>
      </c>
      <c r="H106" s="31">
        <v>46142</v>
      </c>
      <c r="I106" s="23" t="s">
        <v>465</v>
      </c>
      <c r="J106" s="36">
        <f>+Tabla2[[#This Row],[DÍA DE ENTREGA]]+8</f>
        <v>46149</v>
      </c>
      <c r="K106" s="23" t="s">
        <v>466</v>
      </c>
      <c r="L106" s="99">
        <v>9</v>
      </c>
      <c r="M106" s="29"/>
      <c r="N106" s="29"/>
    </row>
    <row r="107" spans="1:14" ht="31.5" customHeight="1">
      <c r="A107" s="29" t="s">
        <v>354</v>
      </c>
      <c r="B107" s="29" t="s">
        <v>15</v>
      </c>
      <c r="C107" s="29" t="str">
        <f>A107&amp;B107</f>
        <v>HC3B</v>
      </c>
      <c r="D107" s="30" t="str">
        <f>VLOOKUP($C107,Asignaturas!$C$5:$D$261,2,0)</f>
        <v>VICTOR VELEZMORO MONTES /</v>
      </c>
      <c r="E107" s="106" t="s">
        <v>10</v>
      </c>
      <c r="F107" s="23" t="s">
        <v>464</v>
      </c>
      <c r="G107" s="31">
        <v>46141</v>
      </c>
      <c r="H107" s="31">
        <v>46142</v>
      </c>
      <c r="I107" s="23" t="s">
        <v>465</v>
      </c>
      <c r="J107" s="36">
        <f>+Tabla2[[#This Row],[DÍA DE ENTREGA]]+8</f>
        <v>46149</v>
      </c>
      <c r="K107" s="23" t="s">
        <v>466</v>
      </c>
      <c r="L107" s="103">
        <v>0</v>
      </c>
      <c r="M107" s="29"/>
      <c r="N107" s="29"/>
    </row>
    <row r="108" spans="1:14" ht="31.5" customHeight="1">
      <c r="A108" s="29" t="s">
        <v>341</v>
      </c>
      <c r="B108" s="29" t="s">
        <v>18</v>
      </c>
      <c r="C108" s="29" t="str">
        <f>A108&amp;B108</f>
        <v>HC1C</v>
      </c>
      <c r="D108" s="30" t="str">
        <f>VLOOKUP($C108,Asignaturas!$C$5:$D$261,2,0)</f>
        <v xml:space="preserve">ADRIANA ISABEL LAOS LEVAGGI / </v>
      </c>
      <c r="E108" s="106" t="s">
        <v>14</v>
      </c>
      <c r="F108" s="23" t="s">
        <v>471</v>
      </c>
      <c r="G108" s="31">
        <v>46141</v>
      </c>
      <c r="H108" s="31">
        <v>46142</v>
      </c>
      <c r="I108" s="23" t="s">
        <v>469</v>
      </c>
      <c r="J108" s="36">
        <f>+Tabla2[[#This Row],[DÍA DE ENTREGA]]+8</f>
        <v>46149</v>
      </c>
      <c r="K108" s="23" t="s">
        <v>466</v>
      </c>
      <c r="L108" s="99">
        <v>1</v>
      </c>
      <c r="M108" s="29"/>
      <c r="N108" s="29"/>
    </row>
    <row r="109" spans="1:14" ht="31.5" customHeight="1">
      <c r="A109" s="29" t="s">
        <v>341</v>
      </c>
      <c r="B109" s="29" t="s">
        <v>20</v>
      </c>
      <c r="C109" s="29" t="str">
        <f>A109&amp;B109</f>
        <v>HC1D</v>
      </c>
      <c r="D109" s="30" t="str">
        <f>VLOOKUP($C109,Asignaturas!$C$5:$D$261,2,0)</f>
        <v xml:space="preserve">JOSE LUIS BELLIDO NINA / </v>
      </c>
      <c r="E109" s="106" t="s">
        <v>14</v>
      </c>
      <c r="F109" s="23" t="s">
        <v>471</v>
      </c>
      <c r="G109" s="31">
        <v>46141</v>
      </c>
      <c r="H109" s="31">
        <v>46142</v>
      </c>
      <c r="I109" s="23" t="s">
        <v>469</v>
      </c>
      <c r="J109" s="36">
        <f>+Tabla2[[#This Row],[DÍA DE ENTREGA]]+8</f>
        <v>46149</v>
      </c>
      <c r="K109" s="23" t="s">
        <v>468</v>
      </c>
      <c r="L109" s="99">
        <v>3</v>
      </c>
      <c r="M109" s="29"/>
      <c r="N109" s="29"/>
    </row>
    <row r="110" spans="1:14" ht="31.5" customHeight="1">
      <c r="A110" s="29" t="s">
        <v>341</v>
      </c>
      <c r="B110" s="29" t="s">
        <v>347</v>
      </c>
      <c r="C110" s="29" t="str">
        <f>A110&amp;B110</f>
        <v>HC1E</v>
      </c>
      <c r="D110" s="30" t="str">
        <f>VLOOKUP($C110,Asignaturas!$C$5:$D$261,2,0)</f>
        <v xml:space="preserve">JOSE LUIS BELLIDO NINA / </v>
      </c>
      <c r="E110" s="106" t="s">
        <v>14</v>
      </c>
      <c r="F110" s="23" t="s">
        <v>471</v>
      </c>
      <c r="G110" s="31">
        <v>46141</v>
      </c>
      <c r="H110" s="31">
        <v>46142</v>
      </c>
      <c r="I110" s="23" t="s">
        <v>469</v>
      </c>
      <c r="J110" s="36">
        <f>+Tabla2[[#This Row],[DÍA DE ENTREGA]]+8</f>
        <v>46149</v>
      </c>
      <c r="K110" s="23" t="s">
        <v>468</v>
      </c>
      <c r="L110" s="99">
        <v>5</v>
      </c>
      <c r="M110" s="44"/>
      <c r="N110" s="29"/>
    </row>
    <row r="111" spans="1:14" ht="31.5" customHeight="1">
      <c r="A111" s="29" t="s">
        <v>313</v>
      </c>
      <c r="B111" s="29" t="s">
        <v>7</v>
      </c>
      <c r="C111" s="29" t="str">
        <f>A111&amp;B111</f>
        <v>ESTA03008A</v>
      </c>
      <c r="D111" s="30" t="str">
        <f>VLOOKUP($C111,Asignaturas!$C$5:$D$261,2,0)</f>
        <v xml:space="preserve">CRISTIAN ADDERLY MARAVI MENESES / </v>
      </c>
      <c r="E111" s="106" t="s">
        <v>14</v>
      </c>
      <c r="F111" s="23" t="s">
        <v>471</v>
      </c>
      <c r="G111" s="31">
        <v>46140</v>
      </c>
      <c r="H111" s="31">
        <v>46141</v>
      </c>
      <c r="I111" s="23" t="s">
        <v>469</v>
      </c>
      <c r="J111" s="36">
        <f>+Tabla2[[#This Row],[DÍA DE ENTREGA]]+8</f>
        <v>46148</v>
      </c>
      <c r="K111" s="23" t="s">
        <v>466</v>
      </c>
      <c r="L111" s="99">
        <v>1</v>
      </c>
      <c r="M111" s="29" t="s">
        <v>473</v>
      </c>
      <c r="N111" s="29"/>
    </row>
    <row r="112" spans="1:14" ht="31.5" customHeight="1">
      <c r="A112" s="29" t="s">
        <v>63</v>
      </c>
      <c r="B112" s="29" t="s">
        <v>7</v>
      </c>
      <c r="C112" s="29" t="str">
        <f>A112&amp;B112</f>
        <v>A1CC1A</v>
      </c>
      <c r="D112" s="30" t="str">
        <f>VLOOKUP($C112,Asignaturas!$C$5:$D$261,2,0)</f>
        <v xml:space="preserve">JORGE ARMANDO SANCHEZ FARFAN / </v>
      </c>
      <c r="E112" s="106" t="s">
        <v>10</v>
      </c>
      <c r="F112" s="23" t="s">
        <v>471</v>
      </c>
      <c r="G112" s="31">
        <v>46140</v>
      </c>
      <c r="H112" s="31">
        <v>46141</v>
      </c>
      <c r="I112" s="23" t="s">
        <v>469</v>
      </c>
      <c r="J112" s="36">
        <f>+Tabla2[[#This Row],[DÍA DE ENTREGA]]+8</f>
        <v>46148</v>
      </c>
      <c r="K112" s="23" t="s">
        <v>466</v>
      </c>
      <c r="L112" s="99">
        <v>1</v>
      </c>
      <c r="M112" s="29"/>
      <c r="N112" s="29"/>
    </row>
    <row r="113" spans="1:14" ht="31.5" customHeight="1">
      <c r="A113" s="29" t="s">
        <v>80</v>
      </c>
      <c r="B113" s="29" t="s">
        <v>7</v>
      </c>
      <c r="C113" s="29" t="str">
        <f>A113&amp;B113</f>
        <v>A1CF2A</v>
      </c>
      <c r="D113" s="30" t="str">
        <f>VLOOKUP($C113,Asignaturas!$C$5:$D$261,2,0)</f>
        <v xml:space="preserve">MARLON RAUL ALVIA SIANCAS / </v>
      </c>
      <c r="E113" s="108" t="s">
        <v>35</v>
      </c>
      <c r="F113" s="23" t="s">
        <v>464</v>
      </c>
      <c r="G113" s="31">
        <v>46142</v>
      </c>
      <c r="H113" s="31">
        <v>46146</v>
      </c>
      <c r="I113" s="23" t="s">
        <v>465</v>
      </c>
      <c r="J113" s="36">
        <f>+Tabla2[[#This Row],[DÍA DE ENTREGA]]+8</f>
        <v>46150</v>
      </c>
      <c r="K113" s="23" t="s">
        <v>466</v>
      </c>
      <c r="L113" s="103">
        <v>0</v>
      </c>
      <c r="M113" s="78"/>
      <c r="N113" s="29"/>
    </row>
    <row r="114" spans="1:14" ht="31.5" customHeight="1">
      <c r="A114" s="29" t="s">
        <v>80</v>
      </c>
      <c r="B114" s="29" t="s">
        <v>15</v>
      </c>
      <c r="C114" s="29" t="str">
        <f>A114&amp;B114</f>
        <v>A1CF2B</v>
      </c>
      <c r="D114" s="30" t="str">
        <f>VLOOKUP($C114,Asignaturas!$C$5:$D$261,2,0)</f>
        <v xml:space="preserve">MARLON RAUL ALVIA SIANCAS / </v>
      </c>
      <c r="E114" s="108" t="s">
        <v>35</v>
      </c>
      <c r="F114" s="23" t="s">
        <v>464</v>
      </c>
      <c r="G114" s="31">
        <v>46142</v>
      </c>
      <c r="H114" s="31">
        <v>46146</v>
      </c>
      <c r="I114" s="23" t="s">
        <v>465</v>
      </c>
      <c r="J114" s="36">
        <f>+Tabla2[[#This Row],[DÍA DE ENTREGA]]+8</f>
        <v>46150</v>
      </c>
      <c r="K114" s="23" t="s">
        <v>466</v>
      </c>
      <c r="L114" s="103">
        <v>0</v>
      </c>
      <c r="M114" s="29"/>
      <c r="N114" s="29"/>
    </row>
    <row r="115" spans="1:14" ht="31.5" customHeight="1">
      <c r="A115" s="29" t="s">
        <v>306</v>
      </c>
      <c r="B115" s="29" t="s">
        <v>7</v>
      </c>
      <c r="C115" s="29" t="str">
        <f>A115&amp;B115</f>
        <v>ESTA03005A</v>
      </c>
      <c r="D115" s="30" t="str">
        <f>VLOOKUP($C115,Asignaturas!$C$5:$D$261,2,0)</f>
        <v xml:space="preserve">RANDY JOEL FERNÁNDEZ PALOMINO / </v>
      </c>
      <c r="E115" s="106" t="s">
        <v>14</v>
      </c>
      <c r="F115" s="23" t="s">
        <v>464</v>
      </c>
      <c r="G115" s="31">
        <v>46142</v>
      </c>
      <c r="H115" s="31">
        <v>46146</v>
      </c>
      <c r="I115" s="23" t="s">
        <v>465</v>
      </c>
      <c r="J115" s="36">
        <f>+Tabla2[[#This Row],[DÍA DE ENTREGA]]+8</f>
        <v>46150</v>
      </c>
      <c r="K115" s="23" t="s">
        <v>466</v>
      </c>
      <c r="L115" s="99">
        <v>1</v>
      </c>
      <c r="M115" s="29"/>
      <c r="N115" s="29"/>
    </row>
    <row r="116" spans="1:14" ht="31.5" customHeight="1">
      <c r="A116" s="29" t="s">
        <v>202</v>
      </c>
      <c r="B116" s="29" t="s">
        <v>7</v>
      </c>
      <c r="C116" s="29" t="str">
        <f>A116&amp;B116</f>
        <v>A1MT1A</v>
      </c>
      <c r="D116" s="30" t="str">
        <f>VLOOKUP($C116,Asignaturas!$C$5:$D$261,2,0)</f>
        <v>DIANA LORENA SALAZAR TORRES /</v>
      </c>
      <c r="E116" s="106" t="s">
        <v>14</v>
      </c>
      <c r="F116" s="23" t="s">
        <v>471</v>
      </c>
      <c r="G116" s="31">
        <v>46141</v>
      </c>
      <c r="H116" s="31">
        <v>46142</v>
      </c>
      <c r="I116" s="23" t="s">
        <v>469</v>
      </c>
      <c r="J116" s="36">
        <f>+Tabla2[[#This Row],[DÍA DE ENTREGA]]+8</f>
        <v>46149</v>
      </c>
      <c r="K116" s="23" t="s">
        <v>466</v>
      </c>
      <c r="L116" s="99">
        <v>1</v>
      </c>
      <c r="M116" s="29"/>
      <c r="N116" s="29"/>
    </row>
    <row r="117" spans="1:14" ht="31.5" customHeight="1">
      <c r="A117" s="29" t="s">
        <v>202</v>
      </c>
      <c r="B117" s="29" t="s">
        <v>15</v>
      </c>
      <c r="C117" s="29" t="str">
        <f>A117&amp;B117</f>
        <v>A1MT1B</v>
      </c>
      <c r="D117" s="30" t="str">
        <f>VLOOKUP($C117,Asignaturas!$C$5:$D$261,2,0)</f>
        <v>DIANA LORENA SALAZAR TORRES /</v>
      </c>
      <c r="E117" s="106" t="s">
        <v>14</v>
      </c>
      <c r="F117" s="23" t="s">
        <v>471</v>
      </c>
      <c r="G117" s="31">
        <v>46141</v>
      </c>
      <c r="H117" s="31">
        <v>46142</v>
      </c>
      <c r="I117" s="23" t="s">
        <v>469</v>
      </c>
      <c r="J117" s="36">
        <f>+Tabla2[[#This Row],[DÍA DE ENTREGA]]+8</f>
        <v>46149</v>
      </c>
      <c r="K117" s="23" t="s">
        <v>466</v>
      </c>
      <c r="L117" s="103">
        <v>0</v>
      </c>
      <c r="M117" s="29"/>
      <c r="N117" s="29"/>
    </row>
    <row r="118" spans="1:14" ht="31.5" customHeight="1">
      <c r="A118" s="29" t="s">
        <v>126</v>
      </c>
      <c r="B118" s="29" t="s">
        <v>7</v>
      </c>
      <c r="C118" s="29" t="str">
        <f>A118&amp;B118</f>
        <v>A1ES2A</v>
      </c>
      <c r="D118" s="30" t="str">
        <f>VLOOKUP($C118,Asignaturas!$C$5:$D$261,2,0)</f>
        <v xml:space="preserve">LUIS EGBERTO ALVARADO PINTADO / </v>
      </c>
      <c r="E118" s="106" t="s">
        <v>10</v>
      </c>
      <c r="F118" s="23" t="s">
        <v>464</v>
      </c>
      <c r="G118" s="31">
        <v>46142</v>
      </c>
      <c r="H118" s="31">
        <v>46146</v>
      </c>
      <c r="I118" s="23" t="s">
        <v>465</v>
      </c>
      <c r="J118" s="36">
        <f>+Tabla2[[#This Row],[DÍA DE ENTREGA]]+8</f>
        <v>46150</v>
      </c>
      <c r="K118" s="23" t="s">
        <v>468</v>
      </c>
      <c r="L118" s="99">
        <v>3</v>
      </c>
      <c r="M118" s="29"/>
      <c r="N118" s="29"/>
    </row>
    <row r="119" spans="1:14" ht="31.5" customHeight="1">
      <c r="A119" s="29" t="s">
        <v>126</v>
      </c>
      <c r="B119" s="29" t="s">
        <v>15</v>
      </c>
      <c r="C119" s="29" t="str">
        <f>A119&amp;B119</f>
        <v>A1ES2B</v>
      </c>
      <c r="D119" s="30" t="str">
        <f>VLOOKUP($C119,Asignaturas!$C$5:$D$261,2,0)</f>
        <v xml:space="preserve">LUIS EGBERTO ALVARADO PINTADO / </v>
      </c>
      <c r="E119" s="106" t="s">
        <v>10</v>
      </c>
      <c r="F119" s="23" t="s">
        <v>464</v>
      </c>
      <c r="G119" s="31">
        <v>46142</v>
      </c>
      <c r="H119" s="31">
        <v>46146</v>
      </c>
      <c r="I119" s="23" t="s">
        <v>465</v>
      </c>
      <c r="J119" s="36">
        <f>+Tabla2[[#This Row],[DÍA DE ENTREGA]]+8</f>
        <v>46150</v>
      </c>
      <c r="K119" s="23" t="s">
        <v>468</v>
      </c>
      <c r="L119" s="99">
        <v>3</v>
      </c>
      <c r="M119" s="78"/>
      <c r="N119" s="29"/>
    </row>
    <row r="120" spans="1:14" ht="31.5" customHeight="1">
      <c r="A120" s="29" t="s">
        <v>207</v>
      </c>
      <c r="B120" s="29" t="s">
        <v>7</v>
      </c>
      <c r="C120" s="29" t="str">
        <f>A120&amp;B120</f>
        <v>A1MT2A</v>
      </c>
      <c r="D120" s="30" t="str">
        <f>VLOOKUP($C120,Asignaturas!$C$5:$D$261,2,0)</f>
        <v>JORGE LUIS MARTINEZ PEREZ</v>
      </c>
      <c r="E120" s="106" t="s">
        <v>14</v>
      </c>
      <c r="F120" s="23" t="s">
        <v>464</v>
      </c>
      <c r="G120" s="31">
        <v>46142</v>
      </c>
      <c r="H120" s="31">
        <v>46146</v>
      </c>
      <c r="I120" s="23" t="s">
        <v>465</v>
      </c>
      <c r="J120" s="36">
        <f>+Tabla2[[#This Row],[DÍA DE ENTREGA]]+8</f>
        <v>46150</v>
      </c>
      <c r="K120" s="23" t="s">
        <v>468</v>
      </c>
      <c r="L120" s="99">
        <v>1</v>
      </c>
      <c r="M120" s="29"/>
      <c r="N120" s="29"/>
    </row>
    <row r="121" spans="1:14" ht="31.5" customHeight="1">
      <c r="A121" s="29" t="s">
        <v>207</v>
      </c>
      <c r="B121" s="29" t="s">
        <v>15</v>
      </c>
      <c r="C121" s="29" t="str">
        <f>A121&amp;B121</f>
        <v>A1MT2B</v>
      </c>
      <c r="D121" s="30" t="str">
        <f>VLOOKUP($C121,Asignaturas!$C$5:$D$261,2,0)</f>
        <v>JORGE LUIS MARTINEZ PEREZ</v>
      </c>
      <c r="E121" s="106" t="s">
        <v>14</v>
      </c>
      <c r="F121" s="23" t="s">
        <v>471</v>
      </c>
      <c r="G121" s="31">
        <v>46141</v>
      </c>
      <c r="H121" s="31">
        <v>46142</v>
      </c>
      <c r="I121" s="23" t="s">
        <v>469</v>
      </c>
      <c r="J121" s="36">
        <f>+Tabla2[[#This Row],[DÍA DE ENTREGA]]+8</f>
        <v>46149</v>
      </c>
      <c r="K121" s="23" t="s">
        <v>466</v>
      </c>
      <c r="L121" s="103">
        <v>0</v>
      </c>
      <c r="M121" s="29"/>
      <c r="N121" s="29"/>
    </row>
    <row r="122" spans="1:14" ht="31.5" customHeight="1">
      <c r="A122" s="29" t="s">
        <v>424</v>
      </c>
      <c r="B122" s="29" t="s">
        <v>18</v>
      </c>
      <c r="C122" s="29" t="str">
        <f>A122&amp;B122</f>
        <v>MT2C</v>
      </c>
      <c r="D122" s="30" t="str">
        <f>VLOOKUP($C122,Asignaturas!$C$5:$D$261,2,0)</f>
        <v>JORGE LUIS MARTINEZ PEREZ</v>
      </c>
      <c r="E122" s="106" t="s">
        <v>14</v>
      </c>
      <c r="F122" s="23" t="s">
        <v>471</v>
      </c>
      <c r="G122" s="31">
        <v>46141</v>
      </c>
      <c r="H122" s="31">
        <v>46142</v>
      </c>
      <c r="I122" s="23" t="s">
        <v>469</v>
      </c>
      <c r="J122" s="36">
        <f>+Tabla2[[#This Row],[DÍA DE ENTREGA]]+8</f>
        <v>46149</v>
      </c>
      <c r="K122" s="23" t="s">
        <v>466</v>
      </c>
      <c r="L122" s="103">
        <v>0</v>
      </c>
      <c r="M122" s="29"/>
      <c r="N122" s="29"/>
    </row>
    <row r="123" spans="1:14" ht="31.5" customHeight="1">
      <c r="A123" s="29" t="s">
        <v>363</v>
      </c>
      <c r="B123" s="29" t="s">
        <v>347</v>
      </c>
      <c r="C123" s="29" t="str">
        <f>A123&amp;B123</f>
        <v>LC1E</v>
      </c>
      <c r="D123" s="30" t="str">
        <f>VLOOKUP($C123,Asignaturas!$C$5:$D$261,2,0)</f>
        <v>MANUEL PRENDES GUARDIOLA /</v>
      </c>
      <c r="E123" s="106" t="s">
        <v>10</v>
      </c>
      <c r="F123" s="23" t="s">
        <v>464</v>
      </c>
      <c r="G123" s="31">
        <v>46142</v>
      </c>
      <c r="H123" s="31">
        <v>46146</v>
      </c>
      <c r="I123" s="23" t="s">
        <v>465</v>
      </c>
      <c r="J123" s="36">
        <f>+Tabla2[[#This Row],[DÍA DE ENTREGA]]+8</f>
        <v>46150</v>
      </c>
      <c r="K123" s="23" t="s">
        <v>466</v>
      </c>
      <c r="L123" s="99">
        <v>1</v>
      </c>
      <c r="M123" s="29"/>
      <c r="N123" s="29"/>
    </row>
    <row r="124" spans="1:14" ht="31.5" customHeight="1">
      <c r="A124" s="29" t="s">
        <v>412</v>
      </c>
      <c r="B124" s="29" t="s">
        <v>7</v>
      </c>
      <c r="C124" s="29" t="str">
        <f>A124&amp;B124</f>
        <v>MICR03005A</v>
      </c>
      <c r="D124" s="30" t="str">
        <f>VLOOKUP($C124,Asignaturas!$C$5:$D$261,2,0)</f>
        <v xml:space="preserve">ALFONSO GUILLERMO DULANTO RISHING / </v>
      </c>
      <c r="E124" s="106" t="s">
        <v>14</v>
      </c>
      <c r="F124" s="23" t="s">
        <v>471</v>
      </c>
      <c r="G124" s="31">
        <v>46142</v>
      </c>
      <c r="H124" s="31">
        <v>46146</v>
      </c>
      <c r="I124" s="23" t="s">
        <v>469</v>
      </c>
      <c r="J124" s="36">
        <f>+Tabla2[[#This Row],[DÍA DE ENTREGA]]+8</f>
        <v>46150</v>
      </c>
      <c r="K124" s="23" t="s">
        <v>466</v>
      </c>
      <c r="L124" s="99">
        <v>1</v>
      </c>
      <c r="M124" s="78"/>
      <c r="N124" s="29"/>
    </row>
    <row r="125" spans="1:14" ht="31.5" customHeight="1">
      <c r="A125" s="29" t="s">
        <v>36</v>
      </c>
      <c r="B125" s="29" t="s">
        <v>15</v>
      </c>
      <c r="C125" s="29" t="str">
        <f>A125&amp;B125</f>
        <v>A1AG5B</v>
      </c>
      <c r="D125" s="30" t="str">
        <f>VLOOKUP($C125,Asignaturas!$C$5:$D$261,2,0)</f>
        <v xml:space="preserve">ELSA MERCEDES ALAMA SALAZAR / </v>
      </c>
      <c r="E125" s="110" t="s">
        <v>35</v>
      </c>
      <c r="F125" s="23" t="s">
        <v>471</v>
      </c>
      <c r="G125" s="31">
        <v>46141</v>
      </c>
      <c r="H125" s="31">
        <v>46142</v>
      </c>
      <c r="I125" s="23" t="s">
        <v>469</v>
      </c>
      <c r="J125" s="36">
        <f>+Tabla2[[#This Row],[DÍA DE ENTREGA]]+8</f>
        <v>46149</v>
      </c>
      <c r="K125" s="23" t="s">
        <v>466</v>
      </c>
      <c r="L125" s="99">
        <v>1</v>
      </c>
      <c r="M125" s="29"/>
      <c r="N125" s="29"/>
    </row>
    <row r="126" spans="1:14" ht="31.5" customHeight="1">
      <c r="A126" s="29" t="s">
        <v>120</v>
      </c>
      <c r="B126" s="29" t="s">
        <v>15</v>
      </c>
      <c r="C126" s="29" t="str">
        <f>A126&amp;B126</f>
        <v>A1ES1B</v>
      </c>
      <c r="D126" s="30" t="str">
        <f>VLOOKUP($C126,Asignaturas!$C$5:$D$261,2,0)</f>
        <v xml:space="preserve">DIANA LORENA SALAZAR TORRES / </v>
      </c>
      <c r="E126" s="106" t="s">
        <v>14</v>
      </c>
      <c r="F126" s="23" t="s">
        <v>464</v>
      </c>
      <c r="G126" s="31">
        <v>46142</v>
      </c>
      <c r="H126" s="31">
        <v>46146</v>
      </c>
      <c r="I126" s="23" t="s">
        <v>465</v>
      </c>
      <c r="J126" s="36">
        <f>+Tabla2[[#This Row],[DÍA DE ENTREGA]]+8</f>
        <v>46150</v>
      </c>
      <c r="K126" s="23" t="s">
        <v>466</v>
      </c>
      <c r="L126" s="99">
        <v>1</v>
      </c>
      <c r="M126" s="29"/>
      <c r="N126" s="29"/>
    </row>
    <row r="127" spans="1:14" ht="31.5" customHeight="1">
      <c r="A127" s="29" t="s">
        <v>341</v>
      </c>
      <c r="B127" s="29" t="s">
        <v>15</v>
      </c>
      <c r="C127" s="29" t="str">
        <f>A127&amp;B127</f>
        <v>HC1B</v>
      </c>
      <c r="D127" s="30" t="str">
        <f>VLOOKUP($C127,Asignaturas!$C$5:$D$261,2,0)</f>
        <v>BERTHA JULISSA GUTIÉRREZ RIVAS DE VELEZMORO /</v>
      </c>
      <c r="E127" s="106" t="s">
        <v>14</v>
      </c>
      <c r="F127" s="23" t="s">
        <v>464</v>
      </c>
      <c r="G127" s="31">
        <v>46142</v>
      </c>
      <c r="H127" s="31">
        <v>46146</v>
      </c>
      <c r="I127" s="23" t="s">
        <v>465</v>
      </c>
      <c r="J127" s="36">
        <f>+Tabla2[[#This Row],[DÍA DE ENTREGA]]+8</f>
        <v>46150</v>
      </c>
      <c r="K127" s="23" t="s">
        <v>466</v>
      </c>
      <c r="L127" s="99">
        <v>1</v>
      </c>
      <c r="M127" s="77"/>
      <c r="N127" s="29"/>
    </row>
    <row r="128" spans="1:14" ht="31.5" customHeight="1">
      <c r="A128" s="29" t="s">
        <v>363</v>
      </c>
      <c r="B128" s="29" t="s">
        <v>18</v>
      </c>
      <c r="C128" s="29" t="str">
        <f>A128&amp;B128</f>
        <v>LC1C</v>
      </c>
      <c r="D128" s="30" t="str">
        <f>VLOOKUP($C128,Asignaturas!$C$5:$D$261,2,0)</f>
        <v>CRISANTO PÉREZ ESAIN /</v>
      </c>
      <c r="E128" s="106" t="s">
        <v>10</v>
      </c>
      <c r="F128" s="23" t="s">
        <v>464</v>
      </c>
      <c r="G128" s="31">
        <v>46142</v>
      </c>
      <c r="H128" s="31">
        <v>46146</v>
      </c>
      <c r="I128" s="23" t="s">
        <v>465</v>
      </c>
      <c r="J128" s="36">
        <f>+Tabla2[[#This Row],[DÍA DE ENTREGA]]+8</f>
        <v>46150</v>
      </c>
      <c r="K128" s="23" t="s">
        <v>466</v>
      </c>
      <c r="L128" s="99">
        <v>1</v>
      </c>
      <c r="M128" s="29"/>
      <c r="N128" s="29"/>
    </row>
    <row r="129" spans="1:14" ht="31.5" customHeight="1">
      <c r="A129" s="29" t="s">
        <v>363</v>
      </c>
      <c r="B129" s="29" t="s">
        <v>347</v>
      </c>
      <c r="C129" s="29" t="str">
        <f>A129&amp;B129</f>
        <v>LC1E</v>
      </c>
      <c r="D129" s="30" t="str">
        <f>VLOOKUP($C129,Asignaturas!$C$5:$D$261,2,0)</f>
        <v>MANUEL PRENDES GUARDIOLA /</v>
      </c>
      <c r="E129" s="106" t="s">
        <v>10</v>
      </c>
      <c r="F129" s="23" t="s">
        <v>471</v>
      </c>
      <c r="G129" s="31">
        <v>46142</v>
      </c>
      <c r="H129" s="31">
        <v>46146</v>
      </c>
      <c r="I129" s="23" t="s">
        <v>469</v>
      </c>
      <c r="J129" s="36">
        <f>+Tabla2[[#This Row],[DÍA DE ENTREGA]]+8</f>
        <v>46150</v>
      </c>
      <c r="K129" s="23" t="s">
        <v>466</v>
      </c>
      <c r="L129" s="100">
        <v>2</v>
      </c>
      <c r="M129" s="29"/>
      <c r="N129" s="29"/>
    </row>
    <row r="130" spans="1:14" ht="31.5" customHeight="1">
      <c r="A130" s="29" t="s">
        <v>395</v>
      </c>
      <c r="B130" s="29" t="s">
        <v>7</v>
      </c>
      <c r="C130" s="29" t="str">
        <f>A130&amp;B130</f>
        <v>MAFA</v>
      </c>
      <c r="D130" s="30" t="str">
        <f>VLOOKUP($C130,Asignaturas!$C$5:$D$261,2,0)</f>
        <v>ALAN PATRONI MUÑOZ /</v>
      </c>
      <c r="E130" s="106" t="s">
        <v>17</v>
      </c>
      <c r="F130" s="23" t="s">
        <v>464</v>
      </c>
      <c r="G130" s="31">
        <v>46146</v>
      </c>
      <c r="H130" s="31">
        <v>46147</v>
      </c>
      <c r="I130" s="23" t="s">
        <v>465</v>
      </c>
      <c r="J130" s="36">
        <f>+Tabla2[[#This Row],[DÍA DE ENTREGA]]+8</f>
        <v>46154</v>
      </c>
      <c r="K130" s="23" t="s">
        <v>468</v>
      </c>
      <c r="L130" s="103">
        <v>0</v>
      </c>
      <c r="M130" s="29"/>
      <c r="N130" s="29"/>
    </row>
    <row r="131" spans="1:14" ht="31.5" customHeight="1">
      <c r="A131" s="29" t="s">
        <v>315</v>
      </c>
      <c r="B131" s="29" t="s">
        <v>18</v>
      </c>
      <c r="C131" s="29" t="str">
        <f>A131&amp;B131</f>
        <v>ETCC</v>
      </c>
      <c r="D131" s="30" t="str">
        <f>VLOOKUP($C131,Asignaturas!$C$5:$D$261,2,0)</f>
        <v>ZHENIA DJANIRA APARICIO ALDANA /</v>
      </c>
      <c r="E131" s="106" t="s">
        <v>14</v>
      </c>
      <c r="F131" s="23" t="s">
        <v>464</v>
      </c>
      <c r="G131" s="31">
        <v>46146</v>
      </c>
      <c r="H131" s="31">
        <v>46147</v>
      </c>
      <c r="I131" s="23" t="s">
        <v>465</v>
      </c>
      <c r="J131" s="36">
        <f>+Tabla2[[#This Row],[DÍA DE ENTREGA]]+8</f>
        <v>46154</v>
      </c>
      <c r="K131" s="23" t="s">
        <v>468</v>
      </c>
      <c r="L131" s="99">
        <v>1</v>
      </c>
      <c r="M131" s="29"/>
      <c r="N131" s="29"/>
    </row>
    <row r="132" spans="1:14" ht="31.5" customHeight="1">
      <c r="A132" s="29" t="s">
        <v>245</v>
      </c>
      <c r="B132" s="29" t="s">
        <v>7</v>
      </c>
      <c r="C132" s="29" t="str">
        <f>A132&amp;B132</f>
        <v>CF5A</v>
      </c>
      <c r="D132" s="30" t="str">
        <f>VLOOKUP($C132,Asignaturas!$C$5:$D$261,2,0)</f>
        <v>MARÍA JESUS FARFÁN / IVETTE NUÑEZ LAGUNA</v>
      </c>
      <c r="E132" s="106" t="s">
        <v>14</v>
      </c>
      <c r="F132" s="23" t="s">
        <v>464</v>
      </c>
      <c r="G132" s="31">
        <v>46146</v>
      </c>
      <c r="H132" s="31">
        <v>46147</v>
      </c>
      <c r="I132" s="23" t="s">
        <v>465</v>
      </c>
      <c r="J132" s="36">
        <f>+Tabla2[[#This Row],[DÍA DE ENTREGA]]+8</f>
        <v>46154</v>
      </c>
      <c r="K132" s="23" t="s">
        <v>468</v>
      </c>
      <c r="L132" s="99">
        <v>2</v>
      </c>
      <c r="M132" s="29"/>
      <c r="N132" s="29"/>
    </row>
    <row r="133" spans="1:14" ht="31.5" customHeight="1">
      <c r="A133" s="29" t="s">
        <v>162</v>
      </c>
      <c r="B133" s="29" t="s">
        <v>7</v>
      </c>
      <c r="C133" s="29" t="str">
        <f>A133&amp;B133</f>
        <v>A1IPNA</v>
      </c>
      <c r="D133" s="30" t="str">
        <f>VLOOKUP($C133,Asignaturas!$C$5:$D$261,2,0)</f>
        <v xml:space="preserve">ENRIQUE MANUEL LACHERRE CALDERON / </v>
      </c>
      <c r="E133" s="106" t="s">
        <v>10</v>
      </c>
      <c r="F133" s="23" t="s">
        <v>464</v>
      </c>
      <c r="G133" s="31">
        <v>46146</v>
      </c>
      <c r="H133" s="31">
        <v>46147</v>
      </c>
      <c r="I133" s="23" t="s">
        <v>465</v>
      </c>
      <c r="J133" s="36">
        <f>+Tabla2[[#This Row],[DÍA DE ENTREGA]]+8</f>
        <v>46154</v>
      </c>
      <c r="K133" s="23" t="s">
        <v>468</v>
      </c>
      <c r="L133" s="103">
        <v>0</v>
      </c>
      <c r="M133" s="30"/>
      <c r="N133" s="29"/>
    </row>
    <row r="134" spans="1:14" ht="31.5" customHeight="1">
      <c r="A134" s="29" t="s">
        <v>162</v>
      </c>
      <c r="B134" s="29" t="s">
        <v>18</v>
      </c>
      <c r="C134" s="29" t="str">
        <f>A134&amp;B134</f>
        <v>A1IPNC</v>
      </c>
      <c r="D134" s="30" t="str">
        <f>VLOOKUP($C134,Asignaturas!$C$5:$D$261,2,0)</f>
        <v xml:space="preserve">ENRIQUE MANUEL LACHERRE CALDERON / </v>
      </c>
      <c r="E134" s="106" t="s">
        <v>10</v>
      </c>
      <c r="F134" s="23" t="s">
        <v>464</v>
      </c>
      <c r="G134" s="31">
        <v>46146</v>
      </c>
      <c r="H134" s="31">
        <v>46147</v>
      </c>
      <c r="I134" s="23" t="s">
        <v>465</v>
      </c>
      <c r="J134" s="36">
        <f>+Tabla2[[#This Row],[DÍA DE ENTREGA]]+8</f>
        <v>46154</v>
      </c>
      <c r="K134" s="23" t="s">
        <v>468</v>
      </c>
      <c r="L134" s="103">
        <v>0</v>
      </c>
      <c r="M134" s="30"/>
      <c r="N134" s="29"/>
    </row>
    <row r="135" spans="1:14" ht="31.5" customHeight="1">
      <c r="A135" s="29" t="s">
        <v>162</v>
      </c>
      <c r="B135" s="29" t="s">
        <v>20</v>
      </c>
      <c r="C135" s="29" t="str">
        <f>A135&amp;B135</f>
        <v>A1IPND</v>
      </c>
      <c r="D135" s="30" t="str">
        <f>VLOOKUP($C135,Asignaturas!$C$5:$D$261,2,0)</f>
        <v xml:space="preserve">ENRIQUE MANUEL LACHERRE CALDERON / </v>
      </c>
      <c r="E135" s="106" t="s">
        <v>10</v>
      </c>
      <c r="F135" s="23" t="s">
        <v>464</v>
      </c>
      <c r="G135" s="31">
        <v>46146</v>
      </c>
      <c r="H135" s="31">
        <v>46147</v>
      </c>
      <c r="I135" s="23" t="s">
        <v>465</v>
      </c>
      <c r="J135" s="36">
        <f>+Tabla2[[#This Row],[DÍA DE ENTREGA]]+8</f>
        <v>46154</v>
      </c>
      <c r="K135" s="23" t="s">
        <v>468</v>
      </c>
      <c r="L135" s="103">
        <v>0</v>
      </c>
      <c r="M135" s="30"/>
      <c r="N135" s="29"/>
    </row>
    <row r="136" spans="1:14" ht="31.5" customHeight="1">
      <c r="A136" s="29" t="s">
        <v>405</v>
      </c>
      <c r="B136" s="29" t="s">
        <v>7</v>
      </c>
      <c r="C136" s="29" t="str">
        <f>A136&amp;B136</f>
        <v>MATE03010A</v>
      </c>
      <c r="D136" s="30" t="str">
        <f>VLOOKUP($C136,Asignaturas!$C$5:$D$261,2,0)</f>
        <v xml:space="preserve">RANDY JOEL FERNÁNDEZ PALOMINO / </v>
      </c>
      <c r="E136" s="106" t="s">
        <v>14</v>
      </c>
      <c r="F136" s="23" t="s">
        <v>464</v>
      </c>
      <c r="G136" s="31">
        <v>46146</v>
      </c>
      <c r="H136" s="31">
        <v>46147</v>
      </c>
      <c r="I136" s="23" t="s">
        <v>465</v>
      </c>
      <c r="J136" s="36">
        <f>+Tabla2[[#This Row],[DÍA DE ENTREGA]]+8</f>
        <v>46154</v>
      </c>
      <c r="K136" s="23" t="s">
        <v>468</v>
      </c>
      <c r="L136" s="99">
        <v>2</v>
      </c>
      <c r="M136" s="77"/>
      <c r="N136" s="29"/>
    </row>
    <row r="137" spans="1:14" ht="31.5" customHeight="1">
      <c r="A137" s="29" t="s">
        <v>74</v>
      </c>
      <c r="B137" s="29" t="s">
        <v>15</v>
      </c>
      <c r="C137" s="29" t="str">
        <f>A137&amp;B137</f>
        <v>A1CF1B</v>
      </c>
      <c r="D137" s="30" t="str">
        <f>VLOOKUP($C137,Asignaturas!$C$5:$D$261,2,0)</f>
        <v xml:space="preserve">MARIA JESÚS FARFÁN MANRIQUE / </v>
      </c>
      <c r="E137" s="106" t="s">
        <v>14</v>
      </c>
      <c r="F137" s="23" t="s">
        <v>464</v>
      </c>
      <c r="G137" s="31">
        <v>46146</v>
      </c>
      <c r="H137" s="31">
        <v>46147</v>
      </c>
      <c r="I137" s="23" t="s">
        <v>465</v>
      </c>
      <c r="J137" s="36">
        <f>+Tabla2[[#This Row],[DÍA DE ENTREGA]]+8</f>
        <v>46154</v>
      </c>
      <c r="K137" s="23" t="s">
        <v>468</v>
      </c>
      <c r="L137" s="99">
        <v>1</v>
      </c>
      <c r="M137" s="77"/>
      <c r="N137" s="29"/>
    </row>
    <row r="138" spans="1:14" ht="31.5" customHeight="1">
      <c r="A138" s="29" t="s">
        <v>177</v>
      </c>
      <c r="B138" s="29" t="s">
        <v>7</v>
      </c>
      <c r="C138" s="29" t="str">
        <f>A138&amp;B138</f>
        <v>A1MK2A</v>
      </c>
      <c r="D138" s="30" t="str">
        <f>VLOOKUP($C138,Asignaturas!$C$5:$D$261,2,0)</f>
        <v xml:space="preserve">VICTOR ALEJANDRO DE LA TORRE PALACIOS / </v>
      </c>
      <c r="E138" s="106" t="s">
        <v>14</v>
      </c>
      <c r="F138" s="23" t="s">
        <v>464</v>
      </c>
      <c r="G138" s="31">
        <v>46146</v>
      </c>
      <c r="H138" s="31">
        <v>46147</v>
      </c>
      <c r="I138" s="23" t="s">
        <v>465</v>
      </c>
      <c r="J138" s="36">
        <f>+Tabla2[[#This Row],[DÍA DE ENTREGA]]+8</f>
        <v>46154</v>
      </c>
      <c r="K138" s="23" t="s">
        <v>468</v>
      </c>
      <c r="L138" s="103">
        <v>0</v>
      </c>
      <c r="M138" s="29"/>
      <c r="N138" s="29"/>
    </row>
    <row r="139" spans="1:14" ht="31.5" customHeight="1">
      <c r="A139" s="29" t="s">
        <v>444</v>
      </c>
      <c r="B139" s="29" t="s">
        <v>7</v>
      </c>
      <c r="C139" s="29" t="str">
        <f>A139&amp;B139</f>
        <v>MICR03002A</v>
      </c>
      <c r="D139" s="30" t="str">
        <f>VLOOKUP($C139,Asignaturas!$C$5:$D$261,2,0)</f>
        <v xml:space="preserve">GUSTAVO ALFREDO RIESCO LIND / </v>
      </c>
      <c r="E139" s="106" t="s">
        <v>10</v>
      </c>
      <c r="F139" s="23" t="s">
        <v>464</v>
      </c>
      <c r="G139" s="31">
        <v>46146</v>
      </c>
      <c r="H139" s="31">
        <v>46147</v>
      </c>
      <c r="I139" s="23" t="s">
        <v>465</v>
      </c>
      <c r="J139" s="36">
        <f>+Tabla2[[#This Row],[DÍA DE ENTREGA]]+8</f>
        <v>46154</v>
      </c>
      <c r="K139" s="23" t="s">
        <v>468</v>
      </c>
      <c r="L139" s="103">
        <v>0</v>
      </c>
      <c r="M139" s="29"/>
      <c r="N139" s="29"/>
    </row>
    <row r="140" spans="1:14" ht="31.5" customHeight="1">
      <c r="A140" s="29" t="s">
        <v>144</v>
      </c>
      <c r="B140" s="29" t="s">
        <v>7</v>
      </c>
      <c r="C140" s="29" t="str">
        <f>A140&amp;B140</f>
        <v>A1FZ4A</v>
      </c>
      <c r="D140" s="30" t="str">
        <f>VLOOKUP($C140,Asignaturas!$C$5:$D$261,2,0)</f>
        <v>ALVARO TRESIERRA / SERGIO REYES</v>
      </c>
      <c r="E140" s="106" t="s">
        <v>14</v>
      </c>
      <c r="F140" s="23" t="s">
        <v>471</v>
      </c>
      <c r="G140" s="31">
        <v>46142</v>
      </c>
      <c r="H140" s="31">
        <v>46146</v>
      </c>
      <c r="I140" s="23" t="s">
        <v>469</v>
      </c>
      <c r="J140" s="36">
        <f>+Tabla2[[#This Row],[DÍA DE ENTREGA]]+8</f>
        <v>46150</v>
      </c>
      <c r="K140" s="23" t="s">
        <v>466</v>
      </c>
      <c r="L140" s="103">
        <v>0</v>
      </c>
      <c r="M140" s="29"/>
      <c r="N140" s="29"/>
    </row>
    <row r="141" spans="1:14" ht="31.5" customHeight="1">
      <c r="A141" s="29" t="s">
        <v>212</v>
      </c>
      <c r="B141" s="29" t="s">
        <v>7</v>
      </c>
      <c r="C141" s="29" t="str">
        <f>A141&amp;B141</f>
        <v>A1OP1A</v>
      </c>
      <c r="D141" s="30" t="str">
        <f>VLOOKUP($C141,Asignaturas!$C$5:$D$261,2,0)</f>
        <v xml:space="preserve">EDUARDO ALONSO SANCHEZ RUIZ / </v>
      </c>
      <c r="E141" s="106" t="s">
        <v>14</v>
      </c>
      <c r="F141" s="23" t="s">
        <v>471</v>
      </c>
      <c r="G141" s="31">
        <v>46146</v>
      </c>
      <c r="H141" s="31">
        <v>46147</v>
      </c>
      <c r="I141" s="23" t="s">
        <v>469</v>
      </c>
      <c r="J141" s="36">
        <f>+Tabla2[[#This Row],[DÍA DE ENTREGA]]+8</f>
        <v>46154</v>
      </c>
      <c r="K141" s="23" t="s">
        <v>468</v>
      </c>
      <c r="L141" s="99">
        <v>1</v>
      </c>
      <c r="M141" s="41"/>
      <c r="N141" s="29"/>
    </row>
    <row r="142" spans="1:14" ht="31.5" customHeight="1">
      <c r="A142" s="29" t="s">
        <v>212</v>
      </c>
      <c r="B142" s="29" t="s">
        <v>15</v>
      </c>
      <c r="C142" s="29" t="str">
        <f>A142&amp;B142</f>
        <v>A1OP1B</v>
      </c>
      <c r="D142" s="30" t="str">
        <f>VLOOKUP($C142,Asignaturas!$C$5:$D$261,2,0)</f>
        <v xml:space="preserve">EDUARDO ALONSO SANCHEZ RUIZ / </v>
      </c>
      <c r="E142" s="106" t="s">
        <v>14</v>
      </c>
      <c r="F142" s="23" t="s">
        <v>471</v>
      </c>
      <c r="G142" s="31">
        <v>46146</v>
      </c>
      <c r="H142" s="31">
        <v>46147</v>
      </c>
      <c r="I142" s="23" t="s">
        <v>469</v>
      </c>
      <c r="J142" s="36">
        <f>+Tabla2[[#This Row],[DÍA DE ENTREGA]]+8</f>
        <v>46154</v>
      </c>
      <c r="K142" s="23" t="s">
        <v>468</v>
      </c>
      <c r="L142" s="103">
        <v>0</v>
      </c>
      <c r="M142" s="41"/>
      <c r="N142" s="29"/>
    </row>
    <row r="143" spans="1:14" ht="31.5" customHeight="1">
      <c r="A143" s="29" t="s">
        <v>138</v>
      </c>
      <c r="B143" s="29" t="s">
        <v>7</v>
      </c>
      <c r="C143" s="29" t="str">
        <f>A143&amp;B143</f>
        <v>A1FZ2A</v>
      </c>
      <c r="D143" s="30" t="str">
        <f>VLOOKUP($C143,Asignaturas!$C$5:$D$261,2,0)</f>
        <v>RAFAEL ANTONIO VALERA MORENO /</v>
      </c>
      <c r="E143" s="106" t="s">
        <v>14</v>
      </c>
      <c r="F143" s="23" t="s">
        <v>471</v>
      </c>
      <c r="G143" s="31">
        <v>46146</v>
      </c>
      <c r="H143" s="31">
        <v>46147</v>
      </c>
      <c r="I143" s="23" t="s">
        <v>469</v>
      </c>
      <c r="J143" s="36">
        <f>+Tabla2[[#This Row],[DÍA DE ENTREGA]]+8</f>
        <v>46154</v>
      </c>
      <c r="K143" s="23" t="s">
        <v>468</v>
      </c>
      <c r="L143" s="103">
        <v>1</v>
      </c>
      <c r="M143" s="29"/>
      <c r="N143" s="29"/>
    </row>
    <row r="144" spans="1:14" ht="31.5" customHeight="1">
      <c r="A144" s="29" t="s">
        <v>138</v>
      </c>
      <c r="B144" s="29" t="s">
        <v>15</v>
      </c>
      <c r="C144" s="29" t="str">
        <f>A144&amp;B144</f>
        <v>A1FZ2B</v>
      </c>
      <c r="D144" s="30" t="str">
        <f>VLOOKUP($C144,Asignaturas!$C$5:$D$261,2,0)</f>
        <v>RAFAEL ANTONIO VALERA MORENO /</v>
      </c>
      <c r="E144" s="106" t="s">
        <v>14</v>
      </c>
      <c r="F144" s="23" t="s">
        <v>471</v>
      </c>
      <c r="G144" s="31">
        <v>46146</v>
      </c>
      <c r="H144" s="31">
        <v>46147</v>
      </c>
      <c r="I144" s="23" t="s">
        <v>469</v>
      </c>
      <c r="J144" s="36">
        <f>+Tabla2[[#This Row],[DÍA DE ENTREGA]]+8</f>
        <v>46154</v>
      </c>
      <c r="K144" s="23" t="s">
        <v>468</v>
      </c>
      <c r="L144" s="103">
        <v>0</v>
      </c>
      <c r="M144" s="29"/>
      <c r="N144" s="29"/>
    </row>
    <row r="145" spans="1:14" ht="31.5" customHeight="1">
      <c r="A145" s="29" t="s">
        <v>144</v>
      </c>
      <c r="B145" s="29" t="s">
        <v>15</v>
      </c>
      <c r="C145" s="29" t="str">
        <f>A145&amp;B145</f>
        <v>A1FZ4B</v>
      </c>
      <c r="D145" s="30" t="str">
        <f>VLOOKUP($C145,Asignaturas!$C$5:$D$261,2,0)</f>
        <v xml:space="preserve">BRENDA SILUPÚ GARCÉS / SERGIO DAVID REYES LANDA / </v>
      </c>
      <c r="E145" s="106" t="s">
        <v>14</v>
      </c>
      <c r="F145" s="23" t="s">
        <v>471</v>
      </c>
      <c r="G145" s="31">
        <v>46146</v>
      </c>
      <c r="H145" s="31">
        <v>46147</v>
      </c>
      <c r="I145" s="23" t="s">
        <v>469</v>
      </c>
      <c r="J145" s="36">
        <f>+Tabla2[[#This Row],[DÍA DE ENTREGA]]+8</f>
        <v>46154</v>
      </c>
      <c r="K145" s="23" t="s">
        <v>468</v>
      </c>
      <c r="L145" s="103">
        <v>0</v>
      </c>
      <c r="M145" s="29"/>
      <c r="N145" s="29"/>
    </row>
    <row r="146" spans="1:14" ht="31.5" customHeight="1">
      <c r="A146" s="29" t="s">
        <v>244</v>
      </c>
      <c r="B146" s="29" t="s">
        <v>7</v>
      </c>
      <c r="C146" s="29" t="str">
        <f>A146&amp;B146</f>
        <v>CF4A</v>
      </c>
      <c r="D146" s="30" t="str">
        <f>VLOOKUP($C146,Asignaturas!$C$5:$D$261,2,0)</f>
        <v xml:space="preserve">MARÍA CECILIA VENEGAS MORALES / </v>
      </c>
      <c r="E146" s="106" t="s">
        <v>14</v>
      </c>
      <c r="F146" s="23" t="s">
        <v>471</v>
      </c>
      <c r="G146" s="31">
        <v>46146</v>
      </c>
      <c r="H146" s="31">
        <v>46147</v>
      </c>
      <c r="I146" s="23" t="s">
        <v>469</v>
      </c>
      <c r="J146" s="36">
        <f>+Tabla2[[#This Row],[DÍA DE ENTREGA]]+8</f>
        <v>46154</v>
      </c>
      <c r="K146" s="23" t="s">
        <v>468</v>
      </c>
      <c r="L146" s="99">
        <v>1</v>
      </c>
      <c r="M146" s="29"/>
      <c r="N146" s="29"/>
    </row>
    <row r="147" spans="1:14" ht="31.5" customHeight="1">
      <c r="A147" s="29" t="s">
        <v>432</v>
      </c>
      <c r="B147" s="29" t="s">
        <v>7</v>
      </c>
      <c r="C147" s="29" t="str">
        <f>A147&amp;B147</f>
        <v>RCOA</v>
      </c>
      <c r="D147" s="30" t="str">
        <f>VLOOKUP($C147,Asignaturas!$C$5:$D$261,2,0)</f>
        <v>FERNANDO ALFREDO RIOFRIO ZUÑIGA /</v>
      </c>
      <c r="E147" s="106" t="s">
        <v>14</v>
      </c>
      <c r="F147" s="23" t="s">
        <v>471</v>
      </c>
      <c r="G147" s="31">
        <v>46146</v>
      </c>
      <c r="H147" s="31">
        <v>46147</v>
      </c>
      <c r="I147" s="23" t="s">
        <v>469</v>
      </c>
      <c r="J147" s="36">
        <f>+Tabla2[[#This Row],[DÍA DE ENTREGA]]+8</f>
        <v>46154</v>
      </c>
      <c r="K147" s="23" t="s">
        <v>468</v>
      </c>
      <c r="L147" s="103">
        <v>0</v>
      </c>
      <c r="M147" s="29"/>
      <c r="N147" s="29"/>
    </row>
    <row r="148" spans="1:14" ht="31.5" customHeight="1">
      <c r="A148" s="29" t="s">
        <v>432</v>
      </c>
      <c r="B148" s="29" t="s">
        <v>18</v>
      </c>
      <c r="C148" s="29" t="str">
        <f>A148&amp;B148</f>
        <v>RCOC</v>
      </c>
      <c r="D148" s="30" t="str">
        <f>VLOOKUP($C148,Asignaturas!$C$5:$D$261,2,0)</f>
        <v>FERNANDO ALFREDO RIOFRIO ZUÑIGA /</v>
      </c>
      <c r="E148" s="106" t="s">
        <v>14</v>
      </c>
      <c r="F148" s="23" t="s">
        <v>471</v>
      </c>
      <c r="G148" s="31">
        <v>46146</v>
      </c>
      <c r="H148" s="31">
        <v>46147</v>
      </c>
      <c r="I148" s="23" t="s">
        <v>469</v>
      </c>
      <c r="J148" s="36">
        <f>+Tabla2[[#This Row],[DÍA DE ENTREGA]]+8</f>
        <v>46154</v>
      </c>
      <c r="K148" s="23" t="s">
        <v>468</v>
      </c>
      <c r="L148" s="103">
        <v>0</v>
      </c>
      <c r="M148" s="29"/>
      <c r="N148" s="29"/>
    </row>
    <row r="149" spans="1:14" ht="31.5" customHeight="1">
      <c r="A149" s="29" t="s">
        <v>410</v>
      </c>
      <c r="B149" s="29" t="s">
        <v>7</v>
      </c>
      <c r="C149" s="29" t="str">
        <f>A149&amp;B149</f>
        <v>MICR03004A</v>
      </c>
      <c r="D149" s="30" t="str">
        <f>VLOOKUP($C149,Asignaturas!$C$5:$D$261,2,0)</f>
        <v>PAÚL JOSEMARÍA CORCUERA GARCÍA /</v>
      </c>
      <c r="E149" s="106" t="s">
        <v>10</v>
      </c>
      <c r="F149" s="23" t="s">
        <v>471</v>
      </c>
      <c r="G149" s="31">
        <v>46146</v>
      </c>
      <c r="H149" s="31">
        <v>46147</v>
      </c>
      <c r="I149" s="23" t="s">
        <v>469</v>
      </c>
      <c r="J149" s="36">
        <f>+Tabla2[[#This Row],[DÍA DE ENTREGA]]+8</f>
        <v>46154</v>
      </c>
      <c r="K149" s="23" t="s">
        <v>468</v>
      </c>
      <c r="L149" s="99">
        <v>1</v>
      </c>
      <c r="M149" s="29"/>
      <c r="N149" s="29"/>
    </row>
    <row r="150" spans="1:14" ht="31.5" customHeight="1">
      <c r="A150" s="29" t="s">
        <v>63</v>
      </c>
      <c r="B150" s="29" t="s">
        <v>15</v>
      </c>
      <c r="C150" s="29" t="str">
        <f>A150&amp;B150</f>
        <v>A1CC1B</v>
      </c>
      <c r="D150" s="30" t="str">
        <f>VLOOKUP($C150,Asignaturas!$C$5:$D$261,2,0)</f>
        <v xml:space="preserve">YULLIANA MARISED LLAUCE ONTANEDA / </v>
      </c>
      <c r="E150" s="106" t="s">
        <v>14</v>
      </c>
      <c r="F150" s="23" t="s">
        <v>471</v>
      </c>
      <c r="G150" s="31">
        <v>46146</v>
      </c>
      <c r="H150" s="31">
        <v>46147</v>
      </c>
      <c r="I150" s="23" t="s">
        <v>469</v>
      </c>
      <c r="J150" s="36">
        <f>+Tabla2[[#This Row],[DÍA DE ENTREGA]]+8</f>
        <v>46154</v>
      </c>
      <c r="K150" s="23" t="s">
        <v>468</v>
      </c>
      <c r="L150" s="103">
        <v>0</v>
      </c>
      <c r="M150" s="29"/>
      <c r="N150" s="29"/>
    </row>
    <row r="151" spans="1:14" ht="31.5" customHeight="1">
      <c r="A151" s="29" t="s">
        <v>11</v>
      </c>
      <c r="B151" s="29" t="s">
        <v>15</v>
      </c>
      <c r="C151" s="29" t="str">
        <f>A151&amp;B151</f>
        <v>A1AG1B</v>
      </c>
      <c r="D151" s="30" t="str">
        <f>VLOOKUP($C151,Asignaturas!$C$5:$D$261,2,0)</f>
        <v xml:space="preserve">BEATRIZ ELVIRA VEGAS CHIYÓN / </v>
      </c>
      <c r="E151" s="106" t="s">
        <v>10</v>
      </c>
      <c r="F151" s="23" t="s">
        <v>471</v>
      </c>
      <c r="G151" s="31">
        <v>46146</v>
      </c>
      <c r="H151" s="31">
        <v>46147</v>
      </c>
      <c r="I151" s="23" t="s">
        <v>469</v>
      </c>
      <c r="J151" s="36">
        <f>+Tabla2[[#This Row],[DÍA DE ENTREGA]]+8</f>
        <v>46154</v>
      </c>
      <c r="K151" s="23" t="s">
        <v>468</v>
      </c>
      <c r="L151" s="103">
        <v>0</v>
      </c>
      <c r="M151" s="29"/>
      <c r="N151" s="29"/>
    </row>
    <row r="152" spans="1:14" ht="31.5" customHeight="1">
      <c r="A152" s="29" t="s">
        <v>11</v>
      </c>
      <c r="B152" s="29" t="s">
        <v>18</v>
      </c>
      <c r="C152" s="29" t="str">
        <f>A152&amp;B152</f>
        <v>A1AG1C</v>
      </c>
      <c r="D152" s="30" t="str">
        <f>VLOOKUP($C152,Asignaturas!$C$5:$D$261,2,0)</f>
        <v xml:space="preserve">BEATRIZ ELVIRA VEGAS CHIYÓN / </v>
      </c>
      <c r="E152" s="106" t="s">
        <v>10</v>
      </c>
      <c r="F152" s="23" t="s">
        <v>471</v>
      </c>
      <c r="G152" s="31">
        <v>46146</v>
      </c>
      <c r="H152" s="31">
        <v>46147</v>
      </c>
      <c r="I152" s="23" t="s">
        <v>469</v>
      </c>
      <c r="J152" s="36">
        <f>+Tabla2[[#This Row],[DÍA DE ENTREGA]]+8</f>
        <v>46154</v>
      </c>
      <c r="K152" s="23" t="s">
        <v>468</v>
      </c>
      <c r="L152" s="99">
        <v>3</v>
      </c>
      <c r="M152" s="29"/>
      <c r="N152" s="29"/>
    </row>
    <row r="153" spans="1:14" ht="31.5" customHeight="1">
      <c r="A153" s="29" t="s">
        <v>11</v>
      </c>
      <c r="B153" s="29" t="s">
        <v>20</v>
      </c>
      <c r="C153" s="29" t="str">
        <f>A153&amp;B153</f>
        <v>A1AG1D</v>
      </c>
      <c r="D153" s="30" t="str">
        <f>VLOOKUP($C153,Asignaturas!$C$5:$D$261,2,0)</f>
        <v xml:space="preserve">BEATRIZ ELVIRA VEGAS CHIYÓN / </v>
      </c>
      <c r="E153" s="106" t="s">
        <v>10</v>
      </c>
      <c r="F153" s="23" t="s">
        <v>471</v>
      </c>
      <c r="G153" s="31">
        <v>46146</v>
      </c>
      <c r="H153" s="31">
        <v>46147</v>
      </c>
      <c r="I153" s="23" t="s">
        <v>469</v>
      </c>
      <c r="J153" s="36">
        <f>+Tabla2[[#This Row],[DÍA DE ENTREGA]]+8</f>
        <v>46154</v>
      </c>
      <c r="K153" s="23" t="s">
        <v>468</v>
      </c>
      <c r="L153" s="99">
        <v>1</v>
      </c>
      <c r="M153" s="29"/>
      <c r="N153" s="29"/>
    </row>
    <row r="154" spans="1:14" ht="31.5" customHeight="1">
      <c r="A154" s="29" t="s">
        <v>277</v>
      </c>
      <c r="B154" s="29" t="s">
        <v>7</v>
      </c>
      <c r="C154" s="29" t="str">
        <f>A154&amp;B154</f>
        <v>ESTA03004A</v>
      </c>
      <c r="D154" s="30" t="str">
        <f>VLOOKUP($C154,Asignaturas!$C$5:$D$261,2,0)</f>
        <v xml:space="preserve">GERSON GUILLERMO NAVARRO GARRIDO / </v>
      </c>
      <c r="E154" s="106" t="s">
        <v>10</v>
      </c>
      <c r="F154" s="23" t="s">
        <v>471</v>
      </c>
      <c r="G154" s="31">
        <v>46146</v>
      </c>
      <c r="H154" s="31">
        <v>46147</v>
      </c>
      <c r="I154" s="23" t="s">
        <v>469</v>
      </c>
      <c r="J154" s="36">
        <f>+Tabla2[[#This Row],[DÍA DE ENTREGA]]+8</f>
        <v>46154</v>
      </c>
      <c r="K154" s="23" t="s">
        <v>468</v>
      </c>
      <c r="L154" s="103">
        <v>0</v>
      </c>
      <c r="M154" s="29"/>
      <c r="N154" s="29"/>
    </row>
    <row r="155" spans="1:14" ht="31.5" customHeight="1">
      <c r="A155" s="29" t="s">
        <v>277</v>
      </c>
      <c r="B155" s="29" t="s">
        <v>15</v>
      </c>
      <c r="C155" s="29" t="str">
        <f>A155&amp;B155</f>
        <v>ESTA03004B</v>
      </c>
      <c r="D155" s="30" t="str">
        <f>VLOOKUP($C155,Asignaturas!$C$5:$D$261,2,0)</f>
        <v xml:space="preserve">GERSON GUILLERMO NAVARRO GARRIDO / </v>
      </c>
      <c r="E155" s="106" t="s">
        <v>10</v>
      </c>
      <c r="F155" s="23" t="s">
        <v>471</v>
      </c>
      <c r="G155" s="31">
        <v>46146</v>
      </c>
      <c r="H155" s="31">
        <v>46147</v>
      </c>
      <c r="I155" s="23" t="s">
        <v>469</v>
      </c>
      <c r="J155" s="36">
        <f>+Tabla2[[#This Row],[DÍA DE ENTREGA]]+8</f>
        <v>46154</v>
      </c>
      <c r="K155" s="23" t="s">
        <v>468</v>
      </c>
      <c r="L155" s="103">
        <v>0</v>
      </c>
      <c r="M155" s="29"/>
      <c r="N155" s="29"/>
    </row>
    <row r="156" spans="1:14" ht="31.5" customHeight="1">
      <c r="A156" s="29" t="s">
        <v>251</v>
      </c>
      <c r="B156" s="29" t="s">
        <v>7</v>
      </c>
      <c r="C156" s="29" t="str">
        <f>A156&amp;B156</f>
        <v>CSTA</v>
      </c>
      <c r="D156" s="30" t="str">
        <f>VLOOKUP($C156,Asignaturas!$C$5:$D$261,2,0)</f>
        <v>MARIA ELENA ARCE ALMENARA /</v>
      </c>
      <c r="E156" s="106" t="s">
        <v>14</v>
      </c>
      <c r="F156" s="23" t="s">
        <v>471</v>
      </c>
      <c r="G156" s="31">
        <v>46146</v>
      </c>
      <c r="H156" s="31">
        <v>46147</v>
      </c>
      <c r="I156" s="23" t="s">
        <v>469</v>
      </c>
      <c r="J156" s="36">
        <f>+Tabla2[[#This Row],[DÍA DE ENTREGA]]+8</f>
        <v>46154</v>
      </c>
      <c r="K156" s="23" t="s">
        <v>468</v>
      </c>
      <c r="L156" s="103">
        <v>0</v>
      </c>
      <c r="M156" s="29"/>
      <c r="N156" s="29"/>
    </row>
    <row r="157" spans="1:14" ht="31.5" customHeight="1">
      <c r="A157" s="29" t="s">
        <v>363</v>
      </c>
      <c r="B157" s="29" t="s">
        <v>15</v>
      </c>
      <c r="C157" s="29" t="str">
        <f>A157&amp;B157</f>
        <v>LC1B</v>
      </c>
      <c r="D157" s="30" t="str">
        <f>VLOOKUP($C157,Asignaturas!$C$5:$D$261,2,0)</f>
        <v>KARENT URÍZAR GONZALES /</v>
      </c>
      <c r="E157" s="106" t="s">
        <v>10</v>
      </c>
      <c r="F157" s="23" t="s">
        <v>471</v>
      </c>
      <c r="G157" s="31">
        <v>46146</v>
      </c>
      <c r="H157" s="31">
        <v>46147</v>
      </c>
      <c r="I157" s="23" t="s">
        <v>469</v>
      </c>
      <c r="J157" s="36">
        <f>+Tabla2[[#This Row],[DÍA DE ENTREGA]]+8</f>
        <v>46154</v>
      </c>
      <c r="K157" s="23" t="s">
        <v>468</v>
      </c>
      <c r="L157" s="103">
        <v>0</v>
      </c>
      <c r="M157" s="29"/>
      <c r="N157" s="29"/>
    </row>
    <row r="158" spans="1:14" ht="31.5" customHeight="1">
      <c r="A158" s="29" t="s">
        <v>261</v>
      </c>
      <c r="B158" s="29" t="s">
        <v>7</v>
      </c>
      <c r="C158" s="29" t="str">
        <f>A158&amp;B158</f>
        <v>DT2A</v>
      </c>
      <c r="D158" s="30" t="str">
        <f>VLOOKUP($C158,Asignaturas!$C$5:$D$261,2,0)</f>
        <v xml:space="preserve">DELIA ESPERANZA DE LA CRUZ HARO / </v>
      </c>
      <c r="E158" s="106" t="s">
        <v>10</v>
      </c>
      <c r="F158" s="23" t="s">
        <v>471</v>
      </c>
      <c r="G158" s="31">
        <v>46146</v>
      </c>
      <c r="H158" s="31">
        <v>46147</v>
      </c>
      <c r="I158" s="23" t="s">
        <v>469</v>
      </c>
      <c r="J158" s="36">
        <f>+Tabla2[[#This Row],[DÍA DE ENTREGA]]+8</f>
        <v>46154</v>
      </c>
      <c r="K158" s="23" t="s">
        <v>468</v>
      </c>
      <c r="L158" s="99">
        <v>3</v>
      </c>
      <c r="M158" s="29"/>
      <c r="N158" s="29"/>
    </row>
    <row r="159" spans="1:14" ht="31.5" customHeight="1">
      <c r="A159" s="29" t="s">
        <v>261</v>
      </c>
      <c r="B159" s="29" t="s">
        <v>7</v>
      </c>
      <c r="C159" s="29" t="str">
        <f>A159&amp;B159</f>
        <v>DT2A</v>
      </c>
      <c r="D159" s="30" t="str">
        <f>VLOOKUP($C159,Asignaturas!$C$5:$D$261,2,0)</f>
        <v xml:space="preserve">DELIA ESPERANZA DE LA CRUZ HARO / </v>
      </c>
      <c r="E159" s="106" t="s">
        <v>14</v>
      </c>
      <c r="F159" s="23" t="s">
        <v>471</v>
      </c>
      <c r="G159" s="31">
        <v>46146</v>
      </c>
      <c r="H159" s="31">
        <v>46147</v>
      </c>
      <c r="I159" s="23" t="s">
        <v>469</v>
      </c>
      <c r="J159" s="36">
        <f>+Tabla2[[#This Row],[DÍA DE ENTREGA]]+8</f>
        <v>46154</v>
      </c>
      <c r="K159" s="23" t="s">
        <v>468</v>
      </c>
      <c r="L159" s="99">
        <v>2</v>
      </c>
      <c r="M159" s="29"/>
      <c r="N159" s="29"/>
    </row>
    <row r="160" spans="1:14" ht="31.5" customHeight="1">
      <c r="A160" s="29" t="s">
        <v>263</v>
      </c>
      <c r="B160" s="29" t="s">
        <v>7</v>
      </c>
      <c r="C160" s="29" t="str">
        <f>A160&amp;B160</f>
        <v>DT3A</v>
      </c>
      <c r="D160" s="30" t="str">
        <f>VLOOKUP($C160,Asignaturas!$C$5:$D$261,2,0)</f>
        <v xml:space="preserve">DELIA ESPERANZA DE LA CRUZ HARO / </v>
      </c>
      <c r="E160" s="106" t="s">
        <v>10</v>
      </c>
      <c r="F160" s="23" t="s">
        <v>471</v>
      </c>
      <c r="G160" s="31">
        <v>46146</v>
      </c>
      <c r="H160" s="31">
        <v>46147</v>
      </c>
      <c r="I160" s="23" t="s">
        <v>469</v>
      </c>
      <c r="J160" s="36">
        <f>+Tabla2[[#This Row],[DÍA DE ENTREGA]]+8</f>
        <v>46154</v>
      </c>
      <c r="K160" s="23" t="s">
        <v>468</v>
      </c>
      <c r="L160" s="103">
        <v>0</v>
      </c>
      <c r="M160" s="41"/>
      <c r="N160" s="29"/>
    </row>
    <row r="161" spans="1:14" ht="31.5" customHeight="1">
      <c r="A161" s="29" t="s">
        <v>263</v>
      </c>
      <c r="B161" s="29" t="s">
        <v>7</v>
      </c>
      <c r="C161" s="29" t="str">
        <f>A161&amp;B161</f>
        <v>DT3A</v>
      </c>
      <c r="D161" s="30" t="str">
        <f>VLOOKUP($C161,Asignaturas!$C$5:$D$261,2,0)</f>
        <v xml:space="preserve">DELIA ESPERANZA DE LA CRUZ HARO / </v>
      </c>
      <c r="E161" s="106" t="s">
        <v>14</v>
      </c>
      <c r="F161" s="23" t="s">
        <v>471</v>
      </c>
      <c r="G161" s="31">
        <v>46146</v>
      </c>
      <c r="H161" s="31">
        <v>46147</v>
      </c>
      <c r="I161" s="23" t="s">
        <v>469</v>
      </c>
      <c r="J161" s="36">
        <f>+Tabla2[[#This Row],[DÍA DE ENTREGA]]+8</f>
        <v>46154</v>
      </c>
      <c r="K161" s="23" t="s">
        <v>468</v>
      </c>
      <c r="L161" s="99">
        <v>4</v>
      </c>
      <c r="M161" s="29"/>
      <c r="N161" s="29"/>
    </row>
    <row r="162" spans="1:14" ht="31.5" customHeight="1">
      <c r="A162" s="29" t="s">
        <v>141</v>
      </c>
      <c r="B162" s="29" t="s">
        <v>7</v>
      </c>
      <c r="C162" s="29" t="str">
        <f>A162&amp;B162</f>
        <v>A1FZ3A</v>
      </c>
      <c r="D162" s="30" t="str">
        <f>VLOOKUP($C162,Asignaturas!$C$5:$D$261,2,0)</f>
        <v xml:space="preserve">JORGE EDUARDO GALLO COSTA / </v>
      </c>
      <c r="E162" s="111" t="s">
        <v>110</v>
      </c>
      <c r="F162" s="23" t="s">
        <v>471</v>
      </c>
      <c r="G162" s="31">
        <v>46142</v>
      </c>
      <c r="H162" s="31">
        <v>46146</v>
      </c>
      <c r="I162" s="23" t="s">
        <v>469</v>
      </c>
      <c r="J162" s="36">
        <f>+Tabla2[[#This Row],[DÍA DE ENTREGA]]+8</f>
        <v>46150</v>
      </c>
      <c r="K162" s="23" t="s">
        <v>466</v>
      </c>
      <c r="L162" s="103">
        <v>0</v>
      </c>
      <c r="M162" s="29"/>
      <c r="N162" s="29"/>
    </row>
    <row r="163" spans="1:14" ht="31.5" customHeight="1">
      <c r="A163" s="29" t="s">
        <v>141</v>
      </c>
      <c r="B163" s="29" t="s">
        <v>15</v>
      </c>
      <c r="C163" s="29" t="str">
        <f>A163&amp;B163</f>
        <v>A1FZ3B</v>
      </c>
      <c r="D163" s="30" t="str">
        <f>VLOOKUP($C163,Asignaturas!$C$5:$D$261,2,0)</f>
        <v xml:space="preserve">JORGE EDUARDO GALLO COSTA / </v>
      </c>
      <c r="E163" s="111" t="s">
        <v>110</v>
      </c>
      <c r="F163" s="23" t="s">
        <v>471</v>
      </c>
      <c r="G163" s="31">
        <v>46142</v>
      </c>
      <c r="H163" s="31">
        <v>46146</v>
      </c>
      <c r="I163" s="23" t="s">
        <v>469</v>
      </c>
      <c r="J163" s="36">
        <f>+Tabla2[[#This Row],[DÍA DE ENTREGA]]+8</f>
        <v>46150</v>
      </c>
      <c r="K163" s="23" t="s">
        <v>466</v>
      </c>
      <c r="L163" s="103">
        <v>0</v>
      </c>
      <c r="M163" s="29"/>
      <c r="N163" s="29"/>
    </row>
    <row r="164" spans="1:14" ht="31.5" customHeight="1">
      <c r="A164" s="29" t="s">
        <v>159</v>
      </c>
      <c r="B164" s="29" t="s">
        <v>15</v>
      </c>
      <c r="C164" s="29" t="str">
        <f>A164&amp;B164</f>
        <v>A1GP2B</v>
      </c>
      <c r="D164" s="30" t="str">
        <f>VLOOKUP($C164,Asignaturas!$C$5:$D$261,2,0)</f>
        <v xml:space="preserve">JACQUELINE MARIELA GARCÍA ROJAS / </v>
      </c>
      <c r="E164" s="110" t="s">
        <v>10</v>
      </c>
      <c r="F164" s="23" t="s">
        <v>464</v>
      </c>
      <c r="G164" s="31">
        <v>46146</v>
      </c>
      <c r="H164" s="31">
        <v>46147</v>
      </c>
      <c r="I164" s="23" t="s">
        <v>465</v>
      </c>
      <c r="J164" s="36">
        <f>+Tabla2[[#This Row],[DÍA DE ENTREGA]]+8</f>
        <v>46154</v>
      </c>
      <c r="K164" s="23" t="s">
        <v>466</v>
      </c>
      <c r="L164" s="99">
        <v>1</v>
      </c>
      <c r="M164" s="29" t="s">
        <v>474</v>
      </c>
      <c r="N164" s="29"/>
    </row>
    <row r="165" spans="1:14" ht="31.5" customHeight="1">
      <c r="A165" s="29" t="s">
        <v>414</v>
      </c>
      <c r="B165" s="29" t="s">
        <v>7</v>
      </c>
      <c r="C165" s="29" t="str">
        <f>A165&amp;B165</f>
        <v>MICR03006A</v>
      </c>
      <c r="D165" s="30" t="str">
        <f>VLOOKUP($C165,Asignaturas!$C$5:$D$261,2,0)</f>
        <v xml:space="preserve">VANIA SALAS GARCIA / </v>
      </c>
      <c r="E165" s="56" t="s">
        <v>14</v>
      </c>
      <c r="F165" s="23" t="s">
        <v>464</v>
      </c>
      <c r="G165" s="31">
        <v>46146</v>
      </c>
      <c r="H165" s="31">
        <v>46147</v>
      </c>
      <c r="I165" s="23" t="s">
        <v>465</v>
      </c>
      <c r="J165" s="36">
        <f>+Tabla2[[#This Row],[DÍA DE ENTREGA]]+8</f>
        <v>46154</v>
      </c>
      <c r="K165" s="23" t="s">
        <v>466</v>
      </c>
      <c r="L165" s="99">
        <v>2</v>
      </c>
      <c r="M165" s="29"/>
      <c r="N165" s="29"/>
    </row>
    <row r="166" spans="1:14" ht="31.5" customHeight="1">
      <c r="A166" s="29" t="s">
        <v>126</v>
      </c>
      <c r="B166" s="29" t="s">
        <v>7</v>
      </c>
      <c r="C166" s="29" t="str">
        <f>A166&amp;B166</f>
        <v>A1ES2A</v>
      </c>
      <c r="D166" s="30" t="str">
        <f>VLOOKUP($C166,Asignaturas!$C$5:$D$261,2,0)</f>
        <v xml:space="preserve">LUIS EGBERTO ALVARADO PINTADO / </v>
      </c>
      <c r="E166" s="110" t="s">
        <v>30</v>
      </c>
      <c r="F166" s="23" t="s">
        <v>471</v>
      </c>
      <c r="G166" s="31">
        <v>46146</v>
      </c>
      <c r="H166" s="31">
        <v>46147</v>
      </c>
      <c r="I166" s="23" t="s">
        <v>469</v>
      </c>
      <c r="J166" s="36">
        <f>+Tabla2[[#This Row],[DÍA DE ENTREGA]]+8</f>
        <v>46154</v>
      </c>
      <c r="K166" s="23" t="s">
        <v>466</v>
      </c>
      <c r="L166" s="99">
        <v>1</v>
      </c>
      <c r="M166" s="29"/>
      <c r="N166" s="29"/>
    </row>
    <row r="167" spans="1:14" ht="31.5" customHeight="1">
      <c r="A167" s="29" t="s">
        <v>74</v>
      </c>
      <c r="B167" s="29" t="s">
        <v>7</v>
      </c>
      <c r="C167" s="29" t="str">
        <f>A167&amp;B167</f>
        <v>A1CF1A</v>
      </c>
      <c r="D167" s="30" t="str">
        <f>VLOOKUP($C167,Asignaturas!$C$5:$D$261,2,0)</f>
        <v>MARIA ELENA ARCE ALMENARA /</v>
      </c>
      <c r="E167" s="56" t="s">
        <v>14</v>
      </c>
      <c r="F167" s="23" t="s">
        <v>464</v>
      </c>
      <c r="G167" s="31">
        <v>46147</v>
      </c>
      <c r="H167" s="31">
        <v>46148</v>
      </c>
      <c r="I167" s="23" t="s">
        <v>465</v>
      </c>
      <c r="J167" s="36">
        <f>+Tabla2[[#This Row],[DÍA DE ENTREGA]]+8</f>
        <v>46155</v>
      </c>
      <c r="K167" s="23" t="s">
        <v>468</v>
      </c>
      <c r="L167" s="99">
        <v>1</v>
      </c>
      <c r="M167" s="30"/>
      <c r="N167" s="29"/>
    </row>
    <row r="168" spans="1:14" ht="31.5" customHeight="1">
      <c r="A168" s="29" t="s">
        <v>32</v>
      </c>
      <c r="B168" s="29" t="s">
        <v>7</v>
      </c>
      <c r="C168" s="29" t="str">
        <f>A168&amp;B168</f>
        <v>A1AG4A</v>
      </c>
      <c r="D168" s="30" t="str">
        <f>VLOOKUP($C168,Asignaturas!$C$5:$D$261,2,0)</f>
        <v xml:space="preserve">JUANA MARÍA HUACO GARCÍA / </v>
      </c>
      <c r="E168" s="106" t="s">
        <v>10</v>
      </c>
      <c r="F168" s="23" t="s">
        <v>464</v>
      </c>
      <c r="G168" s="31">
        <v>46147</v>
      </c>
      <c r="H168" s="31">
        <v>46148</v>
      </c>
      <c r="I168" s="23" t="s">
        <v>465</v>
      </c>
      <c r="J168" s="36">
        <f>+Tabla2[[#This Row],[DÍA DE ENTREGA]]+8</f>
        <v>46155</v>
      </c>
      <c r="K168" s="23" t="s">
        <v>468</v>
      </c>
      <c r="L168" s="99">
        <v>1</v>
      </c>
      <c r="M168" s="29"/>
      <c r="N168" s="29"/>
    </row>
    <row r="169" spans="1:14" ht="31.5" customHeight="1">
      <c r="A169" s="29" t="s">
        <v>32</v>
      </c>
      <c r="B169" s="29" t="s">
        <v>15</v>
      </c>
      <c r="C169" s="29" t="str">
        <f>A169&amp;B169</f>
        <v>A1AG4B</v>
      </c>
      <c r="D169" s="30" t="str">
        <f>VLOOKUP($C169,Asignaturas!$C$5:$D$261,2,0)</f>
        <v xml:space="preserve">JUANA MARÍA HUACO GARCÍA / </v>
      </c>
      <c r="E169" s="106" t="s">
        <v>10</v>
      </c>
      <c r="F169" s="23" t="s">
        <v>464</v>
      </c>
      <c r="G169" s="31">
        <v>46147</v>
      </c>
      <c r="H169" s="31">
        <v>46148</v>
      </c>
      <c r="I169" s="23" t="s">
        <v>465</v>
      </c>
      <c r="J169" s="36">
        <f>+Tabla2[[#This Row],[DÍA DE ENTREGA]]+8</f>
        <v>46155</v>
      </c>
      <c r="K169" s="23" t="s">
        <v>468</v>
      </c>
      <c r="L169" s="103">
        <v>0</v>
      </c>
      <c r="M169" s="29"/>
      <c r="N169" s="29"/>
    </row>
    <row r="170" spans="1:14" ht="31.5" customHeight="1">
      <c r="A170" s="29" t="s">
        <v>363</v>
      </c>
      <c r="B170" s="29" t="s">
        <v>7</v>
      </c>
      <c r="C170" s="29" t="str">
        <f>A170&amp;B170</f>
        <v>LC1A</v>
      </c>
      <c r="D170" s="30" t="str">
        <f>VLOOKUP($C170,Asignaturas!$C$5:$D$261,2,0)</f>
        <v>ROSA DE JESÚS  BOBBIO ALVAREZ /</v>
      </c>
      <c r="E170" s="106" t="s">
        <v>10</v>
      </c>
      <c r="F170" s="23" t="s">
        <v>464</v>
      </c>
      <c r="G170" s="31">
        <v>46147</v>
      </c>
      <c r="H170" s="31">
        <v>46148</v>
      </c>
      <c r="I170" s="23" t="s">
        <v>465</v>
      </c>
      <c r="J170" s="36">
        <f>+Tabla2[[#This Row],[DÍA DE ENTREGA]]+8</f>
        <v>46155</v>
      </c>
      <c r="K170" s="23" t="s">
        <v>468</v>
      </c>
      <c r="L170" s="103">
        <v>0</v>
      </c>
      <c r="M170" s="29"/>
      <c r="N170" s="29"/>
    </row>
    <row r="171" spans="1:14" ht="31.5" customHeight="1">
      <c r="A171" s="29" t="s">
        <v>341</v>
      </c>
      <c r="B171" s="29" t="s">
        <v>7</v>
      </c>
      <c r="C171" s="29" t="str">
        <f>A171&amp;B171</f>
        <v>HC1A</v>
      </c>
      <c r="D171" s="30" t="str">
        <f>VLOOKUP($C171,Asignaturas!$C$5:$D$261,2,0)</f>
        <v>CRISTINA VARGAS PACHECO /</v>
      </c>
      <c r="E171" s="106" t="s">
        <v>14</v>
      </c>
      <c r="F171" s="23" t="s">
        <v>464</v>
      </c>
      <c r="G171" s="31">
        <v>46147</v>
      </c>
      <c r="H171" s="31">
        <v>46148</v>
      </c>
      <c r="I171" s="23" t="s">
        <v>465</v>
      </c>
      <c r="J171" s="36">
        <f>+Tabla2[[#This Row],[DÍA DE ENTREGA]]+8</f>
        <v>46155</v>
      </c>
      <c r="K171" s="23" t="s">
        <v>468</v>
      </c>
      <c r="L171" s="103">
        <v>0</v>
      </c>
      <c r="M171" s="29"/>
      <c r="N171" s="29"/>
    </row>
    <row r="172" spans="1:14" ht="31.5" customHeight="1">
      <c r="A172" s="29" t="s">
        <v>215</v>
      </c>
      <c r="B172" s="29" t="s">
        <v>7</v>
      </c>
      <c r="C172" s="29" t="str">
        <f>A172&amp;B172</f>
        <v>A1OP2A</v>
      </c>
      <c r="D172" s="30" t="str">
        <f>VLOOKUP($C172,Asignaturas!$C$5:$D$261,2,0)</f>
        <v xml:space="preserve">JAIME GERARDO VILLASANTE ABRAMONTE / </v>
      </c>
      <c r="E172" s="106" t="s">
        <v>10</v>
      </c>
      <c r="F172" s="23" t="s">
        <v>471</v>
      </c>
      <c r="G172" s="31">
        <v>46147</v>
      </c>
      <c r="H172" s="31">
        <v>46148</v>
      </c>
      <c r="I172" s="23" t="s">
        <v>469</v>
      </c>
      <c r="J172" s="36">
        <f>+Tabla2[[#This Row],[DÍA DE ENTREGA]]+8</f>
        <v>46155</v>
      </c>
      <c r="K172" s="23" t="s">
        <v>468</v>
      </c>
      <c r="L172" s="103">
        <v>0</v>
      </c>
      <c r="M172" s="29"/>
      <c r="N172" s="29"/>
    </row>
    <row r="173" spans="1:14" ht="31.5" customHeight="1">
      <c r="A173" s="29" t="s">
        <v>323</v>
      </c>
      <c r="B173" s="29" t="s">
        <v>7</v>
      </c>
      <c r="C173" s="29" t="str">
        <f>A173&amp;B173</f>
        <v>FINZ03032A</v>
      </c>
      <c r="D173" s="30" t="str">
        <f>VLOOKUP($C173,Asignaturas!$C$5:$D$261,2,0)</f>
        <v xml:space="preserve">BRENDA SILUPÚ GARCÉS / SERGIO DAVID REYES LANDA / </v>
      </c>
      <c r="E173" s="106" t="s">
        <v>25</v>
      </c>
      <c r="F173" s="23" t="s">
        <v>471</v>
      </c>
      <c r="G173" s="31">
        <v>46147</v>
      </c>
      <c r="H173" s="31">
        <v>46148</v>
      </c>
      <c r="I173" s="23" t="s">
        <v>469</v>
      </c>
      <c r="J173" s="36">
        <f>+Tabla2[[#This Row],[DÍA DE ENTREGA]]+8</f>
        <v>46155</v>
      </c>
      <c r="K173" s="23" t="s">
        <v>468</v>
      </c>
      <c r="L173" s="99">
        <v>2</v>
      </c>
      <c r="M173" s="29"/>
      <c r="N173" s="29"/>
    </row>
    <row r="174" spans="1:14" ht="31.5" customHeight="1">
      <c r="A174" s="29" t="s">
        <v>400</v>
      </c>
      <c r="B174" s="29" t="s">
        <v>7</v>
      </c>
      <c r="C174" s="29" t="str">
        <f>A174&amp;B174</f>
        <v>MATE03008A</v>
      </c>
      <c r="D174" s="30" t="str">
        <f>VLOOKUP($C174,Asignaturas!$C$5:$D$261,2,0)</f>
        <v xml:space="preserve">JAVIER FARFÁN NAVARRO / </v>
      </c>
      <c r="E174" s="106" t="s">
        <v>14</v>
      </c>
      <c r="F174" s="23" t="s">
        <v>471</v>
      </c>
      <c r="G174" s="31">
        <v>46147</v>
      </c>
      <c r="H174" s="31">
        <v>46148</v>
      </c>
      <c r="I174" s="23" t="s">
        <v>469</v>
      </c>
      <c r="J174" s="36">
        <f>+Tabla2[[#This Row],[DÍA DE ENTREGA]]+8</f>
        <v>46155</v>
      </c>
      <c r="K174" s="23" t="s">
        <v>468</v>
      </c>
      <c r="L174" s="103">
        <v>0</v>
      </c>
      <c r="M174" s="29"/>
      <c r="N174" s="29"/>
    </row>
    <row r="175" spans="1:14" ht="31.5" customHeight="1">
      <c r="A175" s="29" t="s">
        <v>400</v>
      </c>
      <c r="B175" s="29" t="s">
        <v>15</v>
      </c>
      <c r="C175" s="29" t="str">
        <f>A175&amp;B175</f>
        <v>MATE03008B</v>
      </c>
      <c r="D175" s="30" t="str">
        <f>VLOOKUP($C175,Asignaturas!$C$5:$D$261,2,0)</f>
        <v xml:space="preserve">JAVIER FARFÁN NAVARRO / </v>
      </c>
      <c r="E175" s="106" t="s">
        <v>14</v>
      </c>
      <c r="F175" s="23" t="s">
        <v>471</v>
      </c>
      <c r="G175" s="31">
        <v>46147</v>
      </c>
      <c r="H175" s="31">
        <v>46148</v>
      </c>
      <c r="I175" s="23" t="s">
        <v>469</v>
      </c>
      <c r="J175" s="36">
        <f>+Tabla2[[#This Row],[DÍA DE ENTREGA]]+8</f>
        <v>46155</v>
      </c>
      <c r="K175" s="23" t="s">
        <v>468</v>
      </c>
      <c r="L175" s="99">
        <v>3</v>
      </c>
      <c r="M175" s="41"/>
      <c r="N175" s="29"/>
    </row>
    <row r="176" spans="1:14" ht="31.5" customHeight="1">
      <c r="A176" s="29" t="s">
        <v>400</v>
      </c>
      <c r="B176" s="29" t="s">
        <v>18</v>
      </c>
      <c r="C176" s="29" t="str">
        <f>A176&amp;B176</f>
        <v>MATE03008C</v>
      </c>
      <c r="D176" s="30" t="str">
        <f>VLOOKUP($C176,Asignaturas!$C$5:$D$261,2,0)</f>
        <v xml:space="preserve">JAVIER FARFÁN NAVARRO / </v>
      </c>
      <c r="E176" s="106" t="s">
        <v>14</v>
      </c>
      <c r="F176" s="23" t="s">
        <v>471</v>
      </c>
      <c r="G176" s="31">
        <v>46147</v>
      </c>
      <c r="H176" s="31">
        <v>46148</v>
      </c>
      <c r="I176" s="23" t="s">
        <v>469</v>
      </c>
      <c r="J176" s="36">
        <f>+Tabla2[[#This Row],[DÍA DE ENTREGA]]+8</f>
        <v>46155</v>
      </c>
      <c r="K176" s="23" t="s">
        <v>468</v>
      </c>
      <c r="L176" s="99">
        <v>3</v>
      </c>
      <c r="M176" s="29"/>
      <c r="N176" s="29"/>
    </row>
    <row r="177" spans="1:14" ht="31.5" customHeight="1">
      <c r="A177" s="29" t="s">
        <v>398</v>
      </c>
      <c r="B177" s="29" t="s">
        <v>7</v>
      </c>
      <c r="C177" s="29" t="str">
        <f>A177&amp;B177</f>
        <v>MATE03007A</v>
      </c>
      <c r="D177" s="30" t="str">
        <f>VLOOKUP($C177,Asignaturas!$C$5:$D$261,2,0)</f>
        <v>CARLOS IMÁN ANCAJIMA /</v>
      </c>
      <c r="E177" s="106" t="s">
        <v>14</v>
      </c>
      <c r="F177" s="23" t="s">
        <v>471</v>
      </c>
      <c r="G177" s="31">
        <v>46147</v>
      </c>
      <c r="H177" s="31">
        <v>46148</v>
      </c>
      <c r="I177" s="23" t="s">
        <v>469</v>
      </c>
      <c r="J177" s="36">
        <f>+Tabla2[[#This Row],[DÍA DE ENTREGA]]+8</f>
        <v>46155</v>
      </c>
      <c r="K177" s="23" t="s">
        <v>468</v>
      </c>
      <c r="L177" s="103">
        <v>0</v>
      </c>
      <c r="M177" s="41"/>
      <c r="N177" s="29"/>
    </row>
    <row r="178" spans="1:14" ht="31.5" customHeight="1">
      <c r="A178" s="29" t="s">
        <v>398</v>
      </c>
      <c r="B178" s="29" t="s">
        <v>15</v>
      </c>
      <c r="C178" s="29" t="str">
        <f>A178&amp;B178</f>
        <v>MATE03007B</v>
      </c>
      <c r="D178" s="30" t="str">
        <f>VLOOKUP($C178,Asignaturas!$C$5:$D$261,2,0)</f>
        <v>CARLOS IMÁN ANCAJIMA /</v>
      </c>
      <c r="E178" s="106" t="s">
        <v>14</v>
      </c>
      <c r="F178" s="23" t="s">
        <v>471</v>
      </c>
      <c r="G178" s="31">
        <v>46147</v>
      </c>
      <c r="H178" s="31">
        <v>46148</v>
      </c>
      <c r="I178" s="23" t="s">
        <v>469</v>
      </c>
      <c r="J178" s="36">
        <f>+Tabla2[[#This Row],[DÍA DE ENTREGA]]+8</f>
        <v>46155</v>
      </c>
      <c r="K178" s="23" t="s">
        <v>468</v>
      </c>
      <c r="L178" s="103">
        <v>0</v>
      </c>
      <c r="M178" s="41"/>
      <c r="N178" s="29"/>
    </row>
    <row r="179" spans="1:14" ht="31.5" customHeight="1">
      <c r="A179" s="29" t="s">
        <v>398</v>
      </c>
      <c r="B179" s="29" t="s">
        <v>18</v>
      </c>
      <c r="C179" s="29" t="str">
        <f>A179&amp;B179</f>
        <v>MATE03007C</v>
      </c>
      <c r="D179" s="30" t="str">
        <f>VLOOKUP($C179,Asignaturas!$C$5:$D$261,2,0)</f>
        <v>CARLOS IMÁN ANCAJIMA /</v>
      </c>
      <c r="E179" s="106" t="s">
        <v>14</v>
      </c>
      <c r="F179" s="23" t="s">
        <v>471</v>
      </c>
      <c r="G179" s="31">
        <v>46147</v>
      </c>
      <c r="H179" s="31">
        <v>46148</v>
      </c>
      <c r="I179" s="23" t="s">
        <v>469</v>
      </c>
      <c r="J179" s="36">
        <f>+Tabla2[[#This Row],[DÍA DE ENTREGA]]+8</f>
        <v>46155</v>
      </c>
      <c r="K179" s="23" t="s">
        <v>468</v>
      </c>
      <c r="L179" s="103">
        <v>0</v>
      </c>
      <c r="M179" s="29"/>
      <c r="N179" s="29"/>
    </row>
    <row r="180" spans="1:14" ht="31.5" customHeight="1">
      <c r="A180" s="29" t="s">
        <v>324</v>
      </c>
      <c r="B180" s="29" t="s">
        <v>7</v>
      </c>
      <c r="C180" s="29" t="str">
        <f>A180&amp;B180</f>
        <v>FINZ03033A</v>
      </c>
      <c r="D180" s="30" t="str">
        <f>VLOOKUP($C180,Asignaturas!$C$5:$D$261,2,0)</f>
        <v>JUAN LUIS VALDIVIEZO / KEVIN TINEO /</v>
      </c>
      <c r="E180" s="106" t="s">
        <v>10</v>
      </c>
      <c r="F180" s="23" t="s">
        <v>471</v>
      </c>
      <c r="G180" s="31">
        <v>46147</v>
      </c>
      <c r="H180" s="31">
        <v>46148</v>
      </c>
      <c r="I180" s="23" t="s">
        <v>469</v>
      </c>
      <c r="J180" s="36">
        <f>+Tabla2[[#This Row],[DÍA DE ENTREGA]]+8</f>
        <v>46155</v>
      </c>
      <c r="K180" s="23" t="s">
        <v>468</v>
      </c>
      <c r="L180" s="99">
        <v>1</v>
      </c>
      <c r="M180" s="29"/>
      <c r="N180" s="29"/>
    </row>
    <row r="181" spans="1:14" ht="31.5" customHeight="1">
      <c r="A181" s="29" t="s">
        <v>414</v>
      </c>
      <c r="B181" s="29" t="s">
        <v>7</v>
      </c>
      <c r="C181" s="29" t="str">
        <f>A181&amp;B181</f>
        <v>MICR03006A</v>
      </c>
      <c r="D181" s="30" t="str">
        <f>VLOOKUP($C181,Asignaturas!$C$5:$D$261,2,0)</f>
        <v xml:space="preserve">VANIA SALAS GARCIA / </v>
      </c>
      <c r="E181" s="106" t="s">
        <v>14</v>
      </c>
      <c r="F181" s="23" t="s">
        <v>471</v>
      </c>
      <c r="G181" s="31">
        <v>46142</v>
      </c>
      <c r="H181" s="31">
        <v>46146</v>
      </c>
      <c r="I181" s="23" t="s">
        <v>469</v>
      </c>
      <c r="J181" s="36">
        <f>+Tabla2[[#This Row],[DÍA DE ENTREGA]]+8</f>
        <v>46150</v>
      </c>
      <c r="K181" s="23" t="s">
        <v>468</v>
      </c>
      <c r="L181" s="103">
        <v>0</v>
      </c>
      <c r="M181" s="58"/>
      <c r="N181" s="29"/>
    </row>
    <row r="182" spans="1:14" ht="31.5" customHeight="1">
      <c r="A182" s="29" t="s">
        <v>202</v>
      </c>
      <c r="B182" s="29" t="s">
        <v>18</v>
      </c>
      <c r="C182" s="29" t="str">
        <f>A182&amp;B182</f>
        <v>A1MT1C</v>
      </c>
      <c r="D182" s="30" t="str">
        <f>VLOOKUP($C182,Asignaturas!$C$5:$D$261,2,0)</f>
        <v>ELLIS RODNEY HIDALGO MENDOZA /</v>
      </c>
      <c r="E182" s="106" t="s">
        <v>25</v>
      </c>
      <c r="F182" s="23" t="s">
        <v>471</v>
      </c>
      <c r="G182" s="31">
        <v>46148</v>
      </c>
      <c r="H182" s="31">
        <v>46149</v>
      </c>
      <c r="I182" s="23" t="s">
        <v>469</v>
      </c>
      <c r="J182" s="36">
        <f>+Tabla2[[#This Row],[DÍA DE ENTREGA]]+8</f>
        <v>46156</v>
      </c>
      <c r="K182" s="23" t="s">
        <v>468</v>
      </c>
      <c r="L182" s="103">
        <v>0</v>
      </c>
      <c r="M182" s="30"/>
      <c r="N182" s="29"/>
    </row>
    <row r="183" spans="1:14" ht="31.5" customHeight="1">
      <c r="A183" s="29" t="s">
        <v>202</v>
      </c>
      <c r="B183" s="29" t="s">
        <v>20</v>
      </c>
      <c r="C183" s="29" t="str">
        <f>A183&amp;B183</f>
        <v>A1MT1D</v>
      </c>
      <c r="D183" s="30" t="str">
        <f>VLOOKUP($C183,Asignaturas!$C$5:$D$261,2,0)</f>
        <v>ELLIS RODNEY HIDALGO MENDOZA /</v>
      </c>
      <c r="E183" s="106" t="s">
        <v>25</v>
      </c>
      <c r="F183" s="23" t="s">
        <v>471</v>
      </c>
      <c r="G183" s="31">
        <v>46148</v>
      </c>
      <c r="H183" s="31">
        <v>46149</v>
      </c>
      <c r="I183" s="23" t="s">
        <v>469</v>
      </c>
      <c r="J183" s="36">
        <f>+Tabla2[[#This Row],[DÍA DE ENTREGA]]+8</f>
        <v>46156</v>
      </c>
      <c r="K183" s="23" t="s">
        <v>468</v>
      </c>
      <c r="L183" s="103">
        <v>0</v>
      </c>
      <c r="M183" s="30"/>
      <c r="N183" s="29"/>
    </row>
    <row r="184" spans="1:14" ht="31.5" customHeight="1">
      <c r="A184" s="29" t="s">
        <v>424</v>
      </c>
      <c r="B184" s="29" t="s">
        <v>18</v>
      </c>
      <c r="C184" s="29" t="str">
        <f>A184&amp;B184</f>
        <v>MT2C</v>
      </c>
      <c r="D184" s="30" t="str">
        <f>VLOOKUP($C184,Asignaturas!$C$5:$D$261,2,0)</f>
        <v>JORGE LUIS MARTINEZ PEREZ</v>
      </c>
      <c r="E184" s="106" t="s">
        <v>25</v>
      </c>
      <c r="F184" s="23" t="s">
        <v>471</v>
      </c>
      <c r="G184" s="31">
        <v>46148</v>
      </c>
      <c r="H184" s="31">
        <v>46149</v>
      </c>
      <c r="I184" s="23" t="s">
        <v>469</v>
      </c>
      <c r="J184" s="36">
        <f>+Tabla2[[#This Row],[DÍA DE ENTREGA]]+8</f>
        <v>46156</v>
      </c>
      <c r="K184" s="23" t="s">
        <v>468</v>
      </c>
      <c r="L184" s="103">
        <v>0</v>
      </c>
      <c r="M184" s="29"/>
      <c r="N184" s="29"/>
    </row>
    <row r="185" spans="1:14" ht="31.5" customHeight="1">
      <c r="A185" s="29" t="s">
        <v>427</v>
      </c>
      <c r="B185" s="29" t="s">
        <v>7</v>
      </c>
      <c r="C185" s="29" t="str">
        <f>A185&amp;B185</f>
        <v>PSOA</v>
      </c>
      <c r="D185" s="30" t="str">
        <f>VLOOKUP($C185,Asignaturas!$C$5:$D$261,2,0)</f>
        <v>GENARA CASTILLO CÓRDOVA /</v>
      </c>
      <c r="E185" s="106" t="s">
        <v>14</v>
      </c>
      <c r="F185" s="23" t="s">
        <v>471</v>
      </c>
      <c r="G185" s="31">
        <v>46148</v>
      </c>
      <c r="H185" s="31">
        <v>46149</v>
      </c>
      <c r="I185" s="23" t="s">
        <v>469</v>
      </c>
      <c r="J185" s="36">
        <f>+Tabla2[[#This Row],[DÍA DE ENTREGA]]+8</f>
        <v>46156</v>
      </c>
      <c r="K185" s="23" t="s">
        <v>468</v>
      </c>
      <c r="L185" s="99">
        <v>1</v>
      </c>
      <c r="M185" s="29"/>
      <c r="N185" s="29"/>
    </row>
    <row r="186" spans="1:14" ht="31.5" customHeight="1">
      <c r="A186" s="29" t="s">
        <v>141</v>
      </c>
      <c r="B186" s="29" t="s">
        <v>7</v>
      </c>
      <c r="C186" s="29" t="str">
        <f>A186&amp;B186</f>
        <v>A1FZ3A</v>
      </c>
      <c r="D186" s="30" t="str">
        <f>VLOOKUP($C186,Asignaturas!$C$5:$D$261,2,0)</f>
        <v xml:space="preserve">JORGE EDUARDO GALLO COSTA / </v>
      </c>
      <c r="E186" s="106" t="s">
        <v>14</v>
      </c>
      <c r="F186" s="23" t="s">
        <v>471</v>
      </c>
      <c r="G186" s="31">
        <v>46148</v>
      </c>
      <c r="H186" s="31">
        <v>46149</v>
      </c>
      <c r="I186" s="23" t="s">
        <v>469</v>
      </c>
      <c r="J186" s="36">
        <f>+Tabla2[[#This Row],[DÍA DE ENTREGA]]+8</f>
        <v>46156</v>
      </c>
      <c r="K186" s="23" t="s">
        <v>468</v>
      </c>
      <c r="L186" s="103">
        <v>0</v>
      </c>
      <c r="M186" s="29"/>
      <c r="N186" s="29"/>
    </row>
    <row r="187" spans="1:14" ht="31.5" customHeight="1">
      <c r="A187" s="29" t="s">
        <v>141</v>
      </c>
      <c r="B187" s="29" t="s">
        <v>15</v>
      </c>
      <c r="C187" s="29" t="str">
        <f>A187&amp;B187</f>
        <v>A1FZ3B</v>
      </c>
      <c r="D187" s="30" t="str">
        <f>VLOOKUP($C187,Asignaturas!$C$5:$D$261,2,0)</f>
        <v xml:space="preserve">JORGE EDUARDO GALLO COSTA / </v>
      </c>
      <c r="E187" s="106" t="s">
        <v>14</v>
      </c>
      <c r="F187" s="23" t="s">
        <v>471</v>
      </c>
      <c r="G187" s="31">
        <v>46148</v>
      </c>
      <c r="H187" s="31">
        <v>46149</v>
      </c>
      <c r="I187" s="23" t="s">
        <v>469</v>
      </c>
      <c r="J187" s="36">
        <f>+Tabla2[[#This Row],[DÍA DE ENTREGA]]+8</f>
        <v>46156</v>
      </c>
      <c r="K187" s="23" t="s">
        <v>468</v>
      </c>
      <c r="L187" s="103">
        <v>0</v>
      </c>
      <c r="M187" s="29"/>
      <c r="N187" s="29"/>
    </row>
    <row r="188" spans="1:14" ht="31.5" customHeight="1">
      <c r="A188" s="29" t="s">
        <v>341</v>
      </c>
      <c r="B188" s="29" t="s">
        <v>348</v>
      </c>
      <c r="C188" s="29" t="str">
        <f>A188&amp;B188</f>
        <v>HC1F</v>
      </c>
      <c r="D188" s="30" t="str">
        <f>VLOOKUP($C188,Asignaturas!$C$5:$D$261,2,0)</f>
        <v xml:space="preserve">JAVIER GOMEZ SANCHEZ / </v>
      </c>
      <c r="E188" s="106" t="s">
        <v>14</v>
      </c>
      <c r="F188" s="23" t="s">
        <v>471</v>
      </c>
      <c r="G188" s="31">
        <v>46148</v>
      </c>
      <c r="H188" s="31">
        <v>46149</v>
      </c>
      <c r="I188" s="23" t="s">
        <v>469</v>
      </c>
      <c r="J188" s="36">
        <f>+Tabla2[[#This Row],[DÍA DE ENTREGA]]+8</f>
        <v>46156</v>
      </c>
      <c r="K188" s="23" t="s">
        <v>468</v>
      </c>
      <c r="L188" s="99">
        <v>1</v>
      </c>
      <c r="M188" s="29"/>
      <c r="N188" s="29"/>
    </row>
    <row r="189" spans="1:14" ht="31.5" customHeight="1">
      <c r="A189" s="29" t="s">
        <v>232</v>
      </c>
      <c r="B189" s="29" t="s">
        <v>7</v>
      </c>
      <c r="C189" s="29" t="str">
        <f>A189&amp;B189</f>
        <v>AF1A</v>
      </c>
      <c r="D189" s="30" t="str">
        <f>VLOOKUP($C189,Asignaturas!$C$5:$D$261,2,0)</f>
        <v xml:space="preserve">CLAUDIA MARÍA RIVERA TÁVARA / </v>
      </c>
      <c r="E189" s="110" t="s">
        <v>14</v>
      </c>
      <c r="F189" s="23" t="s">
        <v>471</v>
      </c>
      <c r="G189" s="31">
        <v>46148</v>
      </c>
      <c r="H189" s="31">
        <v>46149</v>
      </c>
      <c r="I189" s="23" t="s">
        <v>469</v>
      </c>
      <c r="J189" s="36">
        <f>+Tabla2[[#This Row],[DÍA DE ENTREGA]]+8</f>
        <v>46156</v>
      </c>
      <c r="K189" s="23" t="s">
        <v>468</v>
      </c>
      <c r="L189" s="99">
        <v>0</v>
      </c>
      <c r="M189" s="29"/>
      <c r="N189" s="29"/>
    </row>
    <row r="190" spans="1:14" ht="31.5" customHeight="1">
      <c r="A190" s="29" t="s">
        <v>403</v>
      </c>
      <c r="B190" s="29" t="s">
        <v>7</v>
      </c>
      <c r="C190" s="29" t="str">
        <f>A190&amp;B190</f>
        <v>MATE03009A</v>
      </c>
      <c r="D190" s="30" t="str">
        <f>VLOOKUP($C190,Asignaturas!$C$5:$D$261,2,0)</f>
        <v>NESTOR FARÍAS / WILLIAN REYES</v>
      </c>
      <c r="E190" s="106" t="s">
        <v>25</v>
      </c>
      <c r="F190" s="23" t="s">
        <v>471</v>
      </c>
      <c r="G190" s="31">
        <v>46148</v>
      </c>
      <c r="H190" s="31">
        <v>46149</v>
      </c>
      <c r="I190" s="23" t="s">
        <v>469</v>
      </c>
      <c r="J190" s="36">
        <f>+Tabla2[[#This Row],[DÍA DE ENTREGA]]+8</f>
        <v>46156</v>
      </c>
      <c r="K190" s="23" t="s">
        <v>468</v>
      </c>
      <c r="L190" s="99">
        <v>2</v>
      </c>
      <c r="M190" s="29"/>
      <c r="N190" s="29"/>
    </row>
    <row r="191" spans="1:14" ht="31.5" customHeight="1">
      <c r="A191" s="29" t="s">
        <v>80</v>
      </c>
      <c r="B191" s="29" t="s">
        <v>7</v>
      </c>
      <c r="C191" s="29" t="str">
        <f>A191&amp;B191</f>
        <v>A1CF2A</v>
      </c>
      <c r="D191" s="30" t="str">
        <f>VLOOKUP($C191,Asignaturas!$C$5:$D$261,2,0)</f>
        <v xml:space="preserve">MARLON RAUL ALVIA SIANCAS / </v>
      </c>
      <c r="E191" s="106" t="s">
        <v>14</v>
      </c>
      <c r="F191" s="23" t="s">
        <v>471</v>
      </c>
      <c r="G191" s="31">
        <v>46148</v>
      </c>
      <c r="H191" s="31">
        <v>46149</v>
      </c>
      <c r="I191" s="23" t="s">
        <v>469</v>
      </c>
      <c r="J191" s="36">
        <f>+Tabla2[[#This Row],[DÍA DE ENTREGA]]+8</f>
        <v>46156</v>
      </c>
      <c r="K191" s="23" t="s">
        <v>468</v>
      </c>
      <c r="L191" s="99">
        <v>1</v>
      </c>
      <c r="M191" s="29"/>
      <c r="N191" s="29"/>
    </row>
    <row r="192" spans="1:14" ht="31.5" customHeight="1">
      <c r="A192" s="29" t="s">
        <v>80</v>
      </c>
      <c r="B192" s="29" t="s">
        <v>15</v>
      </c>
      <c r="C192" s="29" t="str">
        <f>A192&amp;B192</f>
        <v>A1CF2B</v>
      </c>
      <c r="D192" s="30" t="str">
        <f>VLOOKUP($C192,Asignaturas!$C$5:$D$261,2,0)</f>
        <v xml:space="preserve">MARLON RAUL ALVIA SIANCAS / </v>
      </c>
      <c r="E192" s="106" t="s">
        <v>14</v>
      </c>
      <c r="F192" s="23" t="s">
        <v>471</v>
      </c>
      <c r="G192" s="31">
        <v>46148</v>
      </c>
      <c r="H192" s="31">
        <v>46149</v>
      </c>
      <c r="I192" s="23" t="s">
        <v>469</v>
      </c>
      <c r="J192" s="36">
        <f>+Tabla2[[#This Row],[DÍA DE ENTREGA]]+8</f>
        <v>46156</v>
      </c>
      <c r="K192" s="23" t="s">
        <v>468</v>
      </c>
      <c r="L192" s="99">
        <v>1</v>
      </c>
      <c r="M192" s="29"/>
      <c r="N192" s="29"/>
    </row>
    <row r="193" spans="1:14" ht="31.5" customHeight="1">
      <c r="A193" s="29" t="s">
        <v>427</v>
      </c>
      <c r="B193" s="29" t="s">
        <v>18</v>
      </c>
      <c r="C193" s="29" t="str">
        <f>A193&amp;B193</f>
        <v>PSOC</v>
      </c>
      <c r="D193" s="30" t="str">
        <f>VLOOKUP($C193,Asignaturas!$C$5:$D$261,2,0)</f>
        <v xml:space="preserve">DAVID TELLEZ MAQUEO / </v>
      </c>
      <c r="E193" s="106" t="s">
        <v>14</v>
      </c>
      <c r="F193" s="23" t="s">
        <v>471</v>
      </c>
      <c r="G193" s="31">
        <v>46148</v>
      </c>
      <c r="H193" s="31">
        <v>46149</v>
      </c>
      <c r="I193" s="23" t="s">
        <v>469</v>
      </c>
      <c r="J193" s="36">
        <f>+Tabla2[[#This Row],[DÍA DE ENTREGA]]+8</f>
        <v>46156</v>
      </c>
      <c r="K193" s="23" t="s">
        <v>468</v>
      </c>
      <c r="L193" s="103">
        <v>0</v>
      </c>
      <c r="M193" s="29"/>
      <c r="N193" s="29"/>
    </row>
    <row r="194" spans="1:14" ht="31.5" customHeight="1">
      <c r="A194" s="29" t="s">
        <v>315</v>
      </c>
      <c r="B194" s="29" t="s">
        <v>7</v>
      </c>
      <c r="C194" s="29" t="str">
        <f>A194&amp;B194</f>
        <v>ETCA</v>
      </c>
      <c r="D194" s="30" t="str">
        <f>VLOOKUP($C194,Asignaturas!$C$5:$D$261,2,0)</f>
        <v xml:space="preserve">DAVID TELLEZ MAQUEO / </v>
      </c>
      <c r="E194" s="106" t="s">
        <v>14</v>
      </c>
      <c r="F194" s="23" t="s">
        <v>471</v>
      </c>
      <c r="G194" s="31">
        <v>46148</v>
      </c>
      <c r="H194" s="31">
        <v>46149</v>
      </c>
      <c r="I194" s="23" t="s">
        <v>469</v>
      </c>
      <c r="J194" s="36">
        <f>+Tabla2[[#This Row],[DÍA DE ENTREGA]]+8</f>
        <v>46156</v>
      </c>
      <c r="K194" s="23" t="s">
        <v>468</v>
      </c>
      <c r="L194" s="103">
        <v>0</v>
      </c>
      <c r="M194" s="29"/>
      <c r="N194" s="29"/>
    </row>
    <row r="195" spans="1:14" ht="31.5" customHeight="1">
      <c r="A195" s="29" t="s">
        <v>427</v>
      </c>
      <c r="B195" s="29" t="s">
        <v>15</v>
      </c>
      <c r="C195" s="29" t="str">
        <f>A195&amp;B195</f>
        <v>PSOB</v>
      </c>
      <c r="D195" s="30" t="str">
        <f>VLOOKUP($C195,Asignaturas!$C$5:$D$261,2,0)</f>
        <v xml:space="preserve">DAVID TELLEZ MAQUEO / </v>
      </c>
      <c r="E195" s="106" t="s">
        <v>14</v>
      </c>
      <c r="F195" s="23" t="s">
        <v>471</v>
      </c>
      <c r="G195" s="31">
        <v>46148</v>
      </c>
      <c r="H195" s="31">
        <v>46149</v>
      </c>
      <c r="I195" s="23" t="s">
        <v>469</v>
      </c>
      <c r="J195" s="36">
        <f>+Tabla2[[#This Row],[DÍA DE ENTREGA]]+8</f>
        <v>46156</v>
      </c>
      <c r="K195" s="23" t="s">
        <v>468</v>
      </c>
      <c r="L195" s="103">
        <v>0</v>
      </c>
      <c r="M195" s="29"/>
      <c r="N195" s="29"/>
    </row>
    <row r="196" spans="1:14" ht="31.5" customHeight="1">
      <c r="A196" s="29" t="s">
        <v>22</v>
      </c>
      <c r="B196" s="29" t="s">
        <v>7</v>
      </c>
      <c r="C196" s="29" t="str">
        <f>A196&amp;B196</f>
        <v>A1AG2A</v>
      </c>
      <c r="D196" s="30" t="str">
        <f>VLOOKUP($C196,Asignaturas!$C$5:$D$261,2,0)</f>
        <v xml:space="preserve">CLAUDIA MARIA CHENG BARRANTES / </v>
      </c>
      <c r="E196" s="106" t="s">
        <v>10</v>
      </c>
      <c r="F196" s="23" t="s">
        <v>471</v>
      </c>
      <c r="G196" s="31">
        <v>46148</v>
      </c>
      <c r="H196" s="31">
        <v>46149</v>
      </c>
      <c r="I196" s="23" t="s">
        <v>469</v>
      </c>
      <c r="J196" s="36">
        <f>+Tabla2[[#This Row],[DÍA DE ENTREGA]]+8</f>
        <v>46156</v>
      </c>
      <c r="K196" s="23" t="s">
        <v>468</v>
      </c>
      <c r="L196" s="99">
        <v>1</v>
      </c>
      <c r="M196" s="29"/>
      <c r="N196" s="29"/>
    </row>
    <row r="197" spans="1:14" ht="31.5" customHeight="1">
      <c r="A197" s="29" t="s">
        <v>22</v>
      </c>
      <c r="B197" s="29" t="s">
        <v>15</v>
      </c>
      <c r="C197" s="29" t="str">
        <f>A197&amp;B197</f>
        <v>A1AG2B</v>
      </c>
      <c r="D197" s="30" t="str">
        <f>VLOOKUP($C197,Asignaturas!$C$5:$D$261,2,0)</f>
        <v xml:space="preserve">CLAUDIA MARIA CHENG BARRANTES / </v>
      </c>
      <c r="E197" s="106" t="s">
        <v>10</v>
      </c>
      <c r="F197" s="23" t="s">
        <v>471</v>
      </c>
      <c r="G197" s="31">
        <v>46148</v>
      </c>
      <c r="H197" s="31">
        <v>46149</v>
      </c>
      <c r="I197" s="23" t="s">
        <v>469</v>
      </c>
      <c r="J197" s="36">
        <f>+Tabla2[[#This Row],[DÍA DE ENTREGA]]+8</f>
        <v>46156</v>
      </c>
      <c r="K197" s="23" t="s">
        <v>468</v>
      </c>
      <c r="L197" s="103">
        <v>0</v>
      </c>
      <c r="M197" s="29"/>
      <c r="N197" s="29"/>
    </row>
    <row r="198" spans="1:14" ht="31.5" customHeight="1">
      <c r="A198" s="29" t="s">
        <v>400</v>
      </c>
      <c r="B198" s="29" t="s">
        <v>7</v>
      </c>
      <c r="C198" s="29" t="str">
        <f>A198&amp;B198</f>
        <v>MATE03008A</v>
      </c>
      <c r="D198" s="30" t="str">
        <f>VLOOKUP($C198,Asignaturas!$C$5:$D$261,2,0)</f>
        <v xml:space="preserve">JAVIER FARFÁN NAVARRO / </v>
      </c>
      <c r="E198" s="106" t="s">
        <v>25</v>
      </c>
      <c r="F198" s="23" t="s">
        <v>464</v>
      </c>
      <c r="G198" s="31">
        <v>46149</v>
      </c>
      <c r="H198" s="31">
        <v>46150</v>
      </c>
      <c r="I198" s="23" t="s">
        <v>465</v>
      </c>
      <c r="J198" s="36">
        <f>+Tabla2[[#This Row],[DÍA DE ENTREGA]]+8</f>
        <v>46157</v>
      </c>
      <c r="K198" s="23" t="s">
        <v>468</v>
      </c>
      <c r="L198" s="99"/>
      <c r="M198" s="29"/>
      <c r="N198" s="29"/>
    </row>
    <row r="199" spans="1:14" ht="31.5" customHeight="1">
      <c r="A199" s="29" t="s">
        <v>400</v>
      </c>
      <c r="B199" s="29" t="s">
        <v>15</v>
      </c>
      <c r="C199" s="29" t="str">
        <f>A199&amp;B199</f>
        <v>MATE03008B</v>
      </c>
      <c r="D199" s="30" t="str">
        <f>VLOOKUP($C199,Asignaturas!$C$5:$D$261,2,0)</f>
        <v xml:space="preserve">JAVIER FARFÁN NAVARRO / </v>
      </c>
      <c r="E199" s="106" t="s">
        <v>25</v>
      </c>
      <c r="F199" s="23" t="s">
        <v>464</v>
      </c>
      <c r="G199" s="31">
        <v>46149</v>
      </c>
      <c r="H199" s="31">
        <v>46150</v>
      </c>
      <c r="I199" s="23" t="s">
        <v>465</v>
      </c>
      <c r="J199" s="36">
        <f>+Tabla2[[#This Row],[DÍA DE ENTREGA]]+8</f>
        <v>46157</v>
      </c>
      <c r="K199" s="23" t="s">
        <v>468</v>
      </c>
      <c r="L199" s="99"/>
      <c r="M199" s="29"/>
      <c r="N199" s="29"/>
    </row>
    <row r="200" spans="1:14" ht="31.5" customHeight="1">
      <c r="A200" s="29" t="s">
        <v>400</v>
      </c>
      <c r="B200" s="29" t="s">
        <v>18</v>
      </c>
      <c r="C200" s="29" t="str">
        <f>A200&amp;B200</f>
        <v>MATE03008C</v>
      </c>
      <c r="D200" s="30" t="str">
        <f>VLOOKUP($C200,Asignaturas!$C$5:$D$261,2,0)</f>
        <v xml:space="preserve">JAVIER FARFÁN NAVARRO / </v>
      </c>
      <c r="E200" s="106" t="s">
        <v>25</v>
      </c>
      <c r="F200" s="23" t="s">
        <v>464</v>
      </c>
      <c r="G200" s="31">
        <v>46149</v>
      </c>
      <c r="H200" s="31">
        <v>46150</v>
      </c>
      <c r="I200" s="23" t="s">
        <v>465</v>
      </c>
      <c r="J200" s="36">
        <f>+Tabla2[[#This Row],[DÍA DE ENTREGA]]+8</f>
        <v>46157</v>
      </c>
      <c r="K200" s="23" t="s">
        <v>468</v>
      </c>
      <c r="L200" s="99"/>
      <c r="M200" s="29"/>
      <c r="N200" s="29"/>
    </row>
    <row r="201" spans="1:14" ht="31.5" customHeight="1">
      <c r="A201" s="29" t="s">
        <v>80</v>
      </c>
      <c r="B201" s="29" t="s">
        <v>7</v>
      </c>
      <c r="C201" s="29" t="str">
        <f>A201&amp;B201</f>
        <v>A1CF2A</v>
      </c>
      <c r="D201" s="30" t="str">
        <f>VLOOKUP($C201,Asignaturas!$C$5:$D$261,2,0)</f>
        <v xml:space="preserve">MARLON RAUL ALVIA SIANCAS / </v>
      </c>
      <c r="E201" s="106" t="s">
        <v>25</v>
      </c>
      <c r="F201" s="23" t="s">
        <v>464</v>
      </c>
      <c r="G201" s="31">
        <v>46149</v>
      </c>
      <c r="H201" s="31">
        <v>46150</v>
      </c>
      <c r="I201" s="23" t="s">
        <v>465</v>
      </c>
      <c r="J201" s="36">
        <f>+Tabla2[[#This Row],[DÍA DE ENTREGA]]+8</f>
        <v>46157</v>
      </c>
      <c r="K201" s="23" t="s">
        <v>468</v>
      </c>
      <c r="L201" s="99"/>
      <c r="M201" s="29"/>
      <c r="N201" s="29"/>
    </row>
    <row r="202" spans="1:14" ht="31.5" customHeight="1">
      <c r="A202" s="29" t="s">
        <v>80</v>
      </c>
      <c r="B202" s="29" t="s">
        <v>15</v>
      </c>
      <c r="C202" s="29" t="str">
        <f>A202&amp;B202</f>
        <v>A1CF2B</v>
      </c>
      <c r="D202" s="30" t="str">
        <f>VLOOKUP($C202,Asignaturas!$C$5:$D$261,2,0)</f>
        <v xml:space="preserve">MARLON RAUL ALVIA SIANCAS / </v>
      </c>
      <c r="E202" s="106" t="s">
        <v>25</v>
      </c>
      <c r="F202" s="23" t="s">
        <v>464</v>
      </c>
      <c r="G202" s="31">
        <v>46149</v>
      </c>
      <c r="H202" s="31">
        <v>46150</v>
      </c>
      <c r="I202" s="23" t="s">
        <v>465</v>
      </c>
      <c r="J202" s="36">
        <f>+Tabla2[[#This Row],[DÍA DE ENTREGA]]+8</f>
        <v>46157</v>
      </c>
      <c r="K202" s="23" t="s">
        <v>468</v>
      </c>
      <c r="L202" s="99"/>
      <c r="M202" s="29"/>
      <c r="N202" s="29"/>
    </row>
    <row r="203" spans="1:14" ht="31.5" customHeight="1">
      <c r="A203" s="29" t="s">
        <v>103</v>
      </c>
      <c r="B203" s="29" t="s">
        <v>7</v>
      </c>
      <c r="C203" s="29" t="str">
        <f>A203&amp;B203</f>
        <v>A1DPEA9A</v>
      </c>
      <c r="D203" s="30" t="str">
        <f>VLOOKUP($C203,Asignaturas!$C$5:$D$261,2,0)</f>
        <v xml:space="preserve">LOURDES RENATA CORONADO GOMEZ / </v>
      </c>
      <c r="E203" s="106" t="s">
        <v>128</v>
      </c>
      <c r="F203" s="23" t="s">
        <v>464</v>
      </c>
      <c r="G203" s="31">
        <v>46149</v>
      </c>
      <c r="H203" s="31">
        <v>46150</v>
      </c>
      <c r="I203" s="23" t="s">
        <v>465</v>
      </c>
      <c r="J203" s="36">
        <v>46157</v>
      </c>
      <c r="K203" s="23" t="s">
        <v>468</v>
      </c>
      <c r="L203" s="22"/>
      <c r="M203" s="41"/>
      <c r="N203" s="29"/>
    </row>
    <row r="204" spans="1:14" ht="31.5" customHeight="1">
      <c r="A204" s="29" t="s">
        <v>406</v>
      </c>
      <c r="B204" s="29" t="s">
        <v>7</v>
      </c>
      <c r="C204" s="29" t="str">
        <f>A204&amp;B204</f>
        <v>MATE03012A</v>
      </c>
      <c r="D204" s="30" t="str">
        <f>VLOOKUP($C204,Asignaturas!$C$5:$D$261,2,0)</f>
        <v xml:space="preserve">ELLIS RODNEY HIDALGO MENDOZA / </v>
      </c>
      <c r="E204" s="106" t="s">
        <v>25</v>
      </c>
      <c r="F204" s="23" t="s">
        <v>464</v>
      </c>
      <c r="G204" s="31">
        <v>46149</v>
      </c>
      <c r="H204" s="31">
        <v>46150</v>
      </c>
      <c r="I204" s="23" t="s">
        <v>465</v>
      </c>
      <c r="J204" s="36">
        <v>46157</v>
      </c>
      <c r="K204" s="23" t="s">
        <v>468</v>
      </c>
      <c r="L204" s="22"/>
      <c r="M204" s="29"/>
      <c r="N204" s="29"/>
    </row>
    <row r="205" spans="1:14" ht="31.5" customHeight="1">
      <c r="A205" s="29" t="s">
        <v>174</v>
      </c>
      <c r="B205" s="29" t="s">
        <v>7</v>
      </c>
      <c r="C205" s="29" t="str">
        <f>A205&amp;B205</f>
        <v>A1MK1A</v>
      </c>
      <c r="D205" s="30" t="str">
        <f>VLOOKUP($C205,Asignaturas!$C$5:$D$261,2,0)</f>
        <v xml:space="preserve">GONZALO GUILLERMO AUGUSTO VOYSEST / </v>
      </c>
      <c r="E205" s="106" t="s">
        <v>25</v>
      </c>
      <c r="F205" s="23" t="s">
        <v>471</v>
      </c>
      <c r="G205" s="31">
        <v>46149</v>
      </c>
      <c r="H205" s="31">
        <v>46150</v>
      </c>
      <c r="I205" s="23" t="s">
        <v>469</v>
      </c>
      <c r="J205" s="36">
        <v>46157</v>
      </c>
      <c r="K205" s="23" t="s">
        <v>468</v>
      </c>
      <c r="L205" s="99"/>
      <c r="M205" s="29"/>
      <c r="N205" s="29"/>
    </row>
    <row r="206" spans="1:14" ht="31.5" customHeight="1">
      <c r="A206" s="29" t="s">
        <v>174</v>
      </c>
      <c r="B206" s="29" t="s">
        <v>15</v>
      </c>
      <c r="C206" s="29" t="str">
        <f>A206&amp;B206</f>
        <v>A1MK1B</v>
      </c>
      <c r="D206" s="30" t="str">
        <f>VLOOKUP($C206,Asignaturas!$C$5:$D$261,2,0)</f>
        <v xml:space="preserve">GONZALO GUILLERMO AUGUSTO VOYSEST / </v>
      </c>
      <c r="E206" s="106" t="s">
        <v>25</v>
      </c>
      <c r="F206" s="23" t="s">
        <v>471</v>
      </c>
      <c r="G206" s="31">
        <v>46149</v>
      </c>
      <c r="H206" s="31">
        <v>46150</v>
      </c>
      <c r="I206" s="23" t="s">
        <v>469</v>
      </c>
      <c r="J206" s="36">
        <v>46157</v>
      </c>
      <c r="K206" s="23" t="s">
        <v>468</v>
      </c>
      <c r="L206" s="99"/>
      <c r="M206" s="29"/>
      <c r="N206" s="29"/>
    </row>
    <row r="207" spans="1:14" ht="31.5" customHeight="1">
      <c r="A207" s="29" t="s">
        <v>233</v>
      </c>
      <c r="B207" s="29" t="s">
        <v>7</v>
      </c>
      <c r="C207" s="29" t="str">
        <f>A207&amp;B207</f>
        <v>AF2A</v>
      </c>
      <c r="D207" s="30" t="str">
        <f>VLOOKUP($C207,Asignaturas!$C$5:$D$261,2,0)</f>
        <v xml:space="preserve">CLAUDIA MARÍA RIVERA TÁVARA / </v>
      </c>
      <c r="E207" s="110" t="s">
        <v>14</v>
      </c>
      <c r="F207" s="23" t="s">
        <v>471</v>
      </c>
      <c r="G207" s="31">
        <v>46149</v>
      </c>
      <c r="H207" s="31">
        <v>46150</v>
      </c>
      <c r="I207" s="23" t="s">
        <v>469</v>
      </c>
      <c r="J207" s="36">
        <v>46157</v>
      </c>
      <c r="K207" s="23" t="s">
        <v>468</v>
      </c>
      <c r="L207" s="22"/>
      <c r="M207" s="41"/>
      <c r="N207" s="29"/>
    </row>
    <row r="208" spans="1:14" ht="31.5" customHeight="1">
      <c r="A208" s="29" t="s">
        <v>226</v>
      </c>
      <c r="B208" s="29" t="s">
        <v>7</v>
      </c>
      <c r="C208" s="29" t="str">
        <f>A208&amp;B208</f>
        <v>A1ST1A</v>
      </c>
      <c r="D208" s="30" t="str">
        <f>VLOOKUP($C208,Asignaturas!$C$5:$D$261,2,0)</f>
        <v xml:space="preserve">PATRICIA ELBA SOTO QUIROGA / </v>
      </c>
      <c r="E208" s="106" t="s">
        <v>14</v>
      </c>
      <c r="F208" s="23" t="s">
        <v>471</v>
      </c>
      <c r="G208" s="31">
        <v>46149</v>
      </c>
      <c r="H208" s="31">
        <v>46150</v>
      </c>
      <c r="I208" s="23" t="s">
        <v>469</v>
      </c>
      <c r="J208" s="36">
        <v>46157</v>
      </c>
      <c r="K208" s="23" t="s">
        <v>468</v>
      </c>
      <c r="L208" s="99"/>
      <c r="M208" s="29"/>
      <c r="N208" s="29"/>
    </row>
    <row r="209" spans="1:14" ht="31.5" customHeight="1">
      <c r="A209" s="29" t="s">
        <v>226</v>
      </c>
      <c r="B209" s="29" t="s">
        <v>15</v>
      </c>
      <c r="C209" s="29" t="str">
        <f>A209&amp;B209</f>
        <v>A1ST1B</v>
      </c>
      <c r="D209" s="30" t="str">
        <f>VLOOKUP($C209,Asignaturas!$C$5:$D$261,2,0)</f>
        <v xml:space="preserve">PATRICIA ELBA SOTO QUIROGA / </v>
      </c>
      <c r="E209" s="106" t="s">
        <v>14</v>
      </c>
      <c r="F209" s="23" t="s">
        <v>471</v>
      </c>
      <c r="G209" s="31">
        <v>46149</v>
      </c>
      <c r="H209" s="31">
        <v>46150</v>
      </c>
      <c r="I209" s="23" t="s">
        <v>469</v>
      </c>
      <c r="J209" s="36">
        <v>46157</v>
      </c>
      <c r="K209" s="23" t="s">
        <v>468</v>
      </c>
      <c r="L209" s="99"/>
      <c r="M209" s="29"/>
      <c r="N209" s="29"/>
    </row>
    <row r="210" spans="1:14" ht="31.5" customHeight="1">
      <c r="A210" s="29" t="s">
        <v>40</v>
      </c>
      <c r="B210" s="29" t="s">
        <v>7</v>
      </c>
      <c r="C210" s="29" t="str">
        <f>A210&amp;B210</f>
        <v>A1AG6A</v>
      </c>
      <c r="D210" s="30" t="str">
        <f>VLOOKUP($C210,Asignaturas!$C$5:$D$261,2,0)</f>
        <v>ALMA ROSA MACHUCA MAZA /</v>
      </c>
      <c r="E210" s="106" t="s">
        <v>10</v>
      </c>
      <c r="F210" s="23" t="s">
        <v>471</v>
      </c>
      <c r="G210" s="31">
        <v>46149</v>
      </c>
      <c r="H210" s="31">
        <v>46150</v>
      </c>
      <c r="I210" s="23" t="s">
        <v>469</v>
      </c>
      <c r="J210" s="36">
        <v>46157</v>
      </c>
      <c r="K210" s="23" t="s">
        <v>468</v>
      </c>
      <c r="L210" s="99"/>
      <c r="M210" s="29"/>
      <c r="N210" s="29"/>
    </row>
    <row r="211" spans="1:14" ht="31.5" customHeight="1">
      <c r="A211" s="29" t="s">
        <v>40</v>
      </c>
      <c r="B211" s="29" t="s">
        <v>15</v>
      </c>
      <c r="C211" s="29" t="str">
        <f>A211&amp;B211</f>
        <v>A1AG6B</v>
      </c>
      <c r="D211" s="30" t="str">
        <f>VLOOKUP($C211,Asignaturas!$C$5:$D$261,2,0)</f>
        <v xml:space="preserve">TEO ERNESTO MARTIN HIDALGO CORTES / </v>
      </c>
      <c r="E211" s="106" t="s">
        <v>10</v>
      </c>
      <c r="F211" s="23" t="s">
        <v>471</v>
      </c>
      <c r="G211" s="31">
        <v>46149</v>
      </c>
      <c r="H211" s="31">
        <v>46150</v>
      </c>
      <c r="I211" s="23" t="s">
        <v>469</v>
      </c>
      <c r="J211" s="36">
        <v>46157</v>
      </c>
      <c r="K211" s="23" t="s">
        <v>468</v>
      </c>
      <c r="L211" s="99"/>
      <c r="M211" s="41"/>
      <c r="N211" s="29"/>
    </row>
    <row r="212" spans="1:14" ht="31.5" customHeight="1">
      <c r="A212" s="29" t="s">
        <v>363</v>
      </c>
      <c r="B212" s="29" t="s">
        <v>348</v>
      </c>
      <c r="C212" s="29" t="str">
        <f>A212&amp;B212</f>
        <v>LC1F</v>
      </c>
      <c r="D212" s="30" t="str">
        <f>VLOOKUP($C212,Asignaturas!$C$5:$D$261,2,0)</f>
        <v>BERTHA ISABEL GUZMÁN VELASCO /</v>
      </c>
      <c r="E212" s="106" t="s">
        <v>10</v>
      </c>
      <c r="F212" s="23" t="s">
        <v>471</v>
      </c>
      <c r="G212" s="31">
        <v>46149</v>
      </c>
      <c r="H212" s="31">
        <v>46150</v>
      </c>
      <c r="I212" s="23" t="s">
        <v>469</v>
      </c>
      <c r="J212" s="36">
        <f>+Tabla2[[#This Row],[DÍA DE ENTREGA]]+8</f>
        <v>46157</v>
      </c>
      <c r="K212" s="23" t="s">
        <v>468</v>
      </c>
      <c r="L212" s="99"/>
      <c r="M212" s="29"/>
      <c r="N212" s="29"/>
    </row>
    <row r="213" spans="1:14" ht="31.5" customHeight="1">
      <c r="A213" s="29" t="s">
        <v>207</v>
      </c>
      <c r="B213" s="29" t="s">
        <v>7</v>
      </c>
      <c r="C213" s="29" t="str">
        <f>A213&amp;B213</f>
        <v>A1MT2A</v>
      </c>
      <c r="D213" s="30" t="str">
        <f>VLOOKUP($C213,Asignaturas!$C$5:$D$261,2,0)</f>
        <v>JORGE LUIS MARTINEZ PEREZ</v>
      </c>
      <c r="E213" s="106" t="s">
        <v>25</v>
      </c>
      <c r="F213" s="23" t="s">
        <v>471</v>
      </c>
      <c r="G213" s="31">
        <v>46149</v>
      </c>
      <c r="H213" s="31">
        <v>46150</v>
      </c>
      <c r="I213" s="23" t="s">
        <v>469</v>
      </c>
      <c r="J213" s="36">
        <f>+Tabla2[[#This Row],[DÍA DE ENTREGA]]+8</f>
        <v>46157</v>
      </c>
      <c r="K213" s="23" t="s">
        <v>468</v>
      </c>
      <c r="L213" s="99"/>
      <c r="M213" s="29"/>
      <c r="N213" s="29"/>
    </row>
    <row r="214" spans="1:14" ht="31.5" customHeight="1">
      <c r="A214" s="29" t="s">
        <v>207</v>
      </c>
      <c r="B214" s="29" t="s">
        <v>15</v>
      </c>
      <c r="C214" s="29" t="str">
        <f>A214&amp;B214</f>
        <v>A1MT2B</v>
      </c>
      <c r="D214" s="30" t="str">
        <f>VLOOKUP($C214,Asignaturas!$C$5:$D$261,2,0)</f>
        <v>JORGE LUIS MARTINEZ PEREZ</v>
      </c>
      <c r="E214" s="106" t="s">
        <v>25</v>
      </c>
      <c r="F214" s="23" t="s">
        <v>471</v>
      </c>
      <c r="G214" s="31">
        <v>46149</v>
      </c>
      <c r="H214" s="31">
        <v>46150</v>
      </c>
      <c r="I214" s="23" t="s">
        <v>469</v>
      </c>
      <c r="J214" s="36">
        <f>+Tabla2[[#This Row],[DÍA DE ENTREGA]]+8</f>
        <v>46157</v>
      </c>
      <c r="K214" s="23" t="s">
        <v>468</v>
      </c>
      <c r="L214" s="99"/>
      <c r="M214" s="29"/>
      <c r="N214" s="29"/>
    </row>
    <row r="215" spans="1:14" ht="31.5" customHeight="1">
      <c r="A215" s="29" t="s">
        <v>177</v>
      </c>
      <c r="B215" s="29" t="s">
        <v>7</v>
      </c>
      <c r="C215" s="29" t="str">
        <f>A215&amp;B215</f>
        <v>A1MK2A</v>
      </c>
      <c r="D215" s="30" t="str">
        <f>VLOOKUP($C215,Asignaturas!$C$5:$D$261,2,0)</f>
        <v xml:space="preserve">VICTOR ALEJANDRO DE LA TORRE PALACIOS / </v>
      </c>
      <c r="E215" s="106" t="s">
        <v>25</v>
      </c>
      <c r="F215" s="23" t="s">
        <v>464</v>
      </c>
      <c r="G215" s="31">
        <v>46150</v>
      </c>
      <c r="H215" s="31">
        <v>46151</v>
      </c>
      <c r="I215" s="23" t="s">
        <v>465</v>
      </c>
      <c r="J215" s="36">
        <f>+Tabla2[[#This Row],[DÍA DE ENTREGA]]+8</f>
        <v>46158</v>
      </c>
      <c r="K215" s="23" t="s">
        <v>468</v>
      </c>
      <c r="L215" s="99"/>
      <c r="M215" s="29"/>
      <c r="N215" s="29"/>
    </row>
    <row r="216" spans="1:14" ht="31.5" customHeight="1">
      <c r="A216" s="29" t="s">
        <v>126</v>
      </c>
      <c r="B216" s="29" t="s">
        <v>7</v>
      </c>
      <c r="C216" s="29" t="str">
        <f>A216&amp;B216</f>
        <v>A1ES2A</v>
      </c>
      <c r="D216" s="30" t="str">
        <f>VLOOKUP($C216,Asignaturas!$C$5:$D$261,2,0)</f>
        <v xml:space="preserve">LUIS EGBERTO ALVARADO PINTADO / </v>
      </c>
      <c r="E216" s="106" t="s">
        <v>25</v>
      </c>
      <c r="F216" s="23" t="s">
        <v>464</v>
      </c>
      <c r="G216" s="31">
        <v>46150</v>
      </c>
      <c r="H216" s="31">
        <v>46151</v>
      </c>
      <c r="I216" s="23" t="s">
        <v>465</v>
      </c>
      <c r="J216" s="36">
        <f>+Tabla2[[#This Row],[DÍA DE ENTREGA]]+8</f>
        <v>46158</v>
      </c>
      <c r="K216" s="23" t="s">
        <v>468</v>
      </c>
      <c r="L216" s="22"/>
      <c r="M216" s="29"/>
      <c r="N216" s="29"/>
    </row>
    <row r="217" spans="1:14" ht="31.5" customHeight="1">
      <c r="A217" s="29" t="s">
        <v>126</v>
      </c>
      <c r="B217" s="29" t="s">
        <v>15</v>
      </c>
      <c r="C217" s="29" t="str">
        <f>A217&amp;B217</f>
        <v>A1ES2B</v>
      </c>
      <c r="D217" s="30" t="str">
        <f>VLOOKUP($C217,Asignaturas!$C$5:$D$261,2,0)</f>
        <v xml:space="preserve">LUIS EGBERTO ALVARADO PINTADO / </v>
      </c>
      <c r="E217" s="106" t="s">
        <v>25</v>
      </c>
      <c r="F217" s="23" t="s">
        <v>464</v>
      </c>
      <c r="G217" s="31">
        <v>46150</v>
      </c>
      <c r="H217" s="31">
        <v>46151</v>
      </c>
      <c r="I217" s="23" t="s">
        <v>465</v>
      </c>
      <c r="J217" s="36">
        <f>+Tabla2[[#This Row],[DÍA DE ENTREGA]]+8</f>
        <v>46158</v>
      </c>
      <c r="K217" s="23" t="s">
        <v>468</v>
      </c>
      <c r="L217" s="99"/>
      <c r="M217" s="29"/>
      <c r="N217" s="29"/>
    </row>
    <row r="218" spans="1:14" ht="31.5" customHeight="1">
      <c r="A218" s="29" t="s">
        <v>308</v>
      </c>
      <c r="B218" s="29" t="s">
        <v>7</v>
      </c>
      <c r="C218" s="29" t="str">
        <f>A218&amp;B218</f>
        <v>ESTA03006A</v>
      </c>
      <c r="D218" s="30" t="str">
        <f>VLOOKUP($C218,Asignaturas!$C$5:$D$261,2,0)</f>
        <v>GERMÁN ANTONIO VEGA ACUÑA /</v>
      </c>
      <c r="E218" s="106" t="s">
        <v>10</v>
      </c>
      <c r="F218" s="23" t="s">
        <v>464</v>
      </c>
      <c r="G218" s="31">
        <v>46150</v>
      </c>
      <c r="H218" s="31">
        <v>46151</v>
      </c>
      <c r="I218" s="23" t="s">
        <v>465</v>
      </c>
      <c r="J218" s="36">
        <f>+Tabla2[[#This Row],[DÍA DE ENTREGA]]+8</f>
        <v>46158</v>
      </c>
      <c r="K218" s="23" t="s">
        <v>468</v>
      </c>
      <c r="L218" s="101"/>
      <c r="M218" s="41"/>
      <c r="N218" s="29"/>
    </row>
    <row r="219" spans="1:14" ht="31.5" customHeight="1">
      <c r="A219" s="29" t="s">
        <v>74</v>
      </c>
      <c r="B219" s="29" t="s">
        <v>7</v>
      </c>
      <c r="C219" s="29" t="str">
        <f>A219&amp;B219</f>
        <v>A1CF1A</v>
      </c>
      <c r="D219" s="30" t="str">
        <f>VLOOKUP($C219,Asignaturas!$C$5:$D$261,2,0)</f>
        <v>MARIA ELENA ARCE ALMENARA /</v>
      </c>
      <c r="E219" s="106" t="s">
        <v>25</v>
      </c>
      <c r="F219" s="23" t="s">
        <v>464</v>
      </c>
      <c r="G219" s="31">
        <v>46150</v>
      </c>
      <c r="H219" s="31">
        <v>46151</v>
      </c>
      <c r="I219" s="23" t="s">
        <v>465</v>
      </c>
      <c r="J219" s="36">
        <f>+Tabla2[[#This Row],[DÍA DE ENTREGA]]+8</f>
        <v>46158</v>
      </c>
      <c r="K219" s="23" t="s">
        <v>468</v>
      </c>
      <c r="L219" s="99"/>
      <c r="M219" s="29"/>
      <c r="N219" s="29"/>
    </row>
    <row r="220" spans="1:14" ht="31.5" customHeight="1">
      <c r="A220" s="29" t="s">
        <v>363</v>
      </c>
      <c r="B220" s="29" t="s">
        <v>20</v>
      </c>
      <c r="C220" s="29" t="str">
        <f>A220&amp;B220</f>
        <v>LC1D</v>
      </c>
      <c r="D220" s="30" t="str">
        <f>VLOOKUP($C220,Asignaturas!$C$5:$D$261,2,0)</f>
        <v>PAOLA CELI ARELLANO /</v>
      </c>
      <c r="E220" s="106" t="s">
        <v>10</v>
      </c>
      <c r="F220" s="23" t="s">
        <v>464</v>
      </c>
      <c r="G220" s="31">
        <v>46150</v>
      </c>
      <c r="H220" s="31">
        <v>46151</v>
      </c>
      <c r="I220" s="23" t="s">
        <v>465</v>
      </c>
      <c r="J220" s="36">
        <f>+Tabla2[[#This Row],[DÍA DE ENTREGA]]+8</f>
        <v>46158</v>
      </c>
      <c r="K220" s="23" t="s">
        <v>468</v>
      </c>
      <c r="L220" s="99"/>
      <c r="M220" s="29"/>
      <c r="N220" s="29"/>
    </row>
    <row r="221" spans="1:14" ht="31.5" customHeight="1">
      <c r="A221" s="29" t="s">
        <v>202</v>
      </c>
      <c r="B221" s="29" t="s">
        <v>7</v>
      </c>
      <c r="C221" s="29" t="str">
        <f>A221&amp;B221</f>
        <v>A1MT1A</v>
      </c>
      <c r="D221" s="30" t="str">
        <f>VLOOKUP($C221,Asignaturas!$C$5:$D$261,2,0)</f>
        <v>DIANA LORENA SALAZAR TORRES /</v>
      </c>
      <c r="E221" s="106" t="s">
        <v>25</v>
      </c>
      <c r="F221" s="23" t="s">
        <v>464</v>
      </c>
      <c r="G221" s="31">
        <v>46150</v>
      </c>
      <c r="H221" s="31">
        <v>46151</v>
      </c>
      <c r="I221" s="23" t="s">
        <v>465</v>
      </c>
      <c r="J221" s="36">
        <f>+Tabla2[[#This Row],[DÍA DE ENTREGA]]+8</f>
        <v>46158</v>
      </c>
      <c r="K221" s="23" t="s">
        <v>468</v>
      </c>
      <c r="L221" s="99"/>
      <c r="M221" s="29"/>
      <c r="N221" s="29"/>
    </row>
    <row r="222" spans="1:14" ht="31.5" customHeight="1">
      <c r="A222" s="29" t="s">
        <v>202</v>
      </c>
      <c r="B222" s="29" t="s">
        <v>15</v>
      </c>
      <c r="C222" s="29" t="str">
        <f>A222&amp;B222</f>
        <v>A1MT1B</v>
      </c>
      <c r="D222" s="30" t="str">
        <f>VLOOKUP($C222,Asignaturas!$C$5:$D$261,2,0)</f>
        <v>DIANA LORENA SALAZAR TORRES /</v>
      </c>
      <c r="E222" s="106" t="s">
        <v>25</v>
      </c>
      <c r="F222" s="23" t="s">
        <v>464</v>
      </c>
      <c r="G222" s="31">
        <v>46150</v>
      </c>
      <c r="H222" s="31">
        <v>46151</v>
      </c>
      <c r="I222" s="23" t="s">
        <v>465</v>
      </c>
      <c r="J222" s="36">
        <f>+Tabla2[[#This Row],[DÍA DE ENTREGA]]+8</f>
        <v>46158</v>
      </c>
      <c r="K222" s="23" t="s">
        <v>468</v>
      </c>
      <c r="L222" s="99"/>
      <c r="M222" s="29"/>
      <c r="N222" s="29"/>
    </row>
    <row r="223" spans="1:14" ht="31.5" customHeight="1">
      <c r="A223" s="29" t="s">
        <v>11</v>
      </c>
      <c r="B223" s="29" t="s">
        <v>7</v>
      </c>
      <c r="C223" s="29" t="str">
        <f>A223&amp;B223</f>
        <v>A1AG1A</v>
      </c>
      <c r="D223" s="30" t="str">
        <f>VLOOKUP($C223,Asignaturas!$C$5:$D$261,2,0)</f>
        <v xml:space="preserve">ELSA MERCEDES ALAMA SALAZAR / </v>
      </c>
      <c r="E223" s="106" t="s">
        <v>25</v>
      </c>
      <c r="F223" s="23" t="s">
        <v>464</v>
      </c>
      <c r="G223" s="31">
        <v>46150</v>
      </c>
      <c r="H223" s="31">
        <v>46153</v>
      </c>
      <c r="I223" s="23" t="s">
        <v>465</v>
      </c>
      <c r="J223" s="36">
        <f>+Tabla2[[#This Row],[DÍA DE ENTREGA]]+9</f>
        <v>46159</v>
      </c>
      <c r="K223" s="23" t="s">
        <v>468</v>
      </c>
      <c r="L223" s="22"/>
      <c r="M223" s="29"/>
      <c r="N223" s="29"/>
    </row>
    <row r="224" spans="1:14" ht="31.5" customHeight="1">
      <c r="A224" s="29" t="s">
        <v>135</v>
      </c>
      <c r="B224" s="29" t="s">
        <v>7</v>
      </c>
      <c r="C224" s="29" t="str">
        <f>A224&amp;B224</f>
        <v>A1FZ1A</v>
      </c>
      <c r="D224" s="30" t="str">
        <f>VLOOKUP($C224,Asignaturas!$C$5:$D$261,2,0)</f>
        <v xml:space="preserve">JUAN RICARDO MATÍAS PALMA / </v>
      </c>
      <c r="E224" s="106" t="s">
        <v>14</v>
      </c>
      <c r="F224" s="23" t="s">
        <v>471</v>
      </c>
      <c r="G224" s="31">
        <v>46150</v>
      </c>
      <c r="H224" s="31">
        <v>46153</v>
      </c>
      <c r="I224" s="23" t="s">
        <v>469</v>
      </c>
      <c r="J224" s="36">
        <f>+Tabla2[[#This Row],[DÍA DE ENTREGA]]+9</f>
        <v>46159</v>
      </c>
      <c r="K224" s="23" t="s">
        <v>468</v>
      </c>
      <c r="L224" s="99"/>
      <c r="M224" s="29"/>
      <c r="N224" s="29"/>
    </row>
    <row r="225" spans="1:14" ht="31.5" customHeight="1">
      <c r="A225" s="29" t="s">
        <v>135</v>
      </c>
      <c r="B225" s="29" t="s">
        <v>15</v>
      </c>
      <c r="C225" s="29" t="str">
        <f>A225&amp;B225</f>
        <v>A1FZ1B</v>
      </c>
      <c r="D225" s="30" t="str">
        <f>VLOOKUP($C225,Asignaturas!$C$5:$D$261,2,0)</f>
        <v xml:space="preserve">JUAN RICARDO MATÍAS PALMA / </v>
      </c>
      <c r="E225" s="106" t="s">
        <v>14</v>
      </c>
      <c r="F225" s="23" t="s">
        <v>471</v>
      </c>
      <c r="G225" s="31">
        <v>46150</v>
      </c>
      <c r="H225" s="31">
        <v>46153</v>
      </c>
      <c r="I225" s="23" t="s">
        <v>469</v>
      </c>
      <c r="J225" s="36">
        <f>+Tabla2[[#This Row],[DÍA DE ENTREGA]]+9</f>
        <v>46159</v>
      </c>
      <c r="K225" s="23" t="s">
        <v>468</v>
      </c>
      <c r="L225" s="99"/>
      <c r="M225" s="29"/>
      <c r="N225" s="29"/>
    </row>
    <row r="226" spans="1:14" ht="31.5" customHeight="1">
      <c r="A226" s="29" t="s">
        <v>350</v>
      </c>
      <c r="B226" s="29" t="s">
        <v>15</v>
      </c>
      <c r="C226" s="29" t="str">
        <f>A226&amp;B226</f>
        <v>HC2B</v>
      </c>
      <c r="D226" s="30" t="str">
        <f>VLOOKUP($C226,Asignaturas!$C$5:$D$261,2,0)</f>
        <v>PAVEL ELÍAS /</v>
      </c>
      <c r="E226" s="106" t="s">
        <v>10</v>
      </c>
      <c r="F226" s="23" t="s">
        <v>471</v>
      </c>
      <c r="G226" s="31">
        <v>46150</v>
      </c>
      <c r="H226" s="31">
        <v>46153</v>
      </c>
      <c r="I226" s="23" t="s">
        <v>469</v>
      </c>
      <c r="J226" s="36">
        <f>+Tabla2[[#This Row],[DÍA DE ENTREGA]]+9</f>
        <v>46159</v>
      </c>
      <c r="K226" s="23" t="s">
        <v>468</v>
      </c>
      <c r="L226" s="99"/>
      <c r="M226" s="29"/>
      <c r="N226" s="29"/>
    </row>
    <row r="227" spans="1:14" ht="31.5" customHeight="1">
      <c r="A227" s="29" t="s">
        <v>350</v>
      </c>
      <c r="B227" s="29" t="s">
        <v>18</v>
      </c>
      <c r="C227" s="29" t="str">
        <f>A227&amp;B227</f>
        <v>HC2C</v>
      </c>
      <c r="D227" s="30" t="str">
        <f>VLOOKUP($C227,Asignaturas!$C$5:$D$261,2,0)</f>
        <v>PAVEL ELÍAS /</v>
      </c>
      <c r="E227" s="106" t="s">
        <v>10</v>
      </c>
      <c r="F227" s="23" t="s">
        <v>471</v>
      </c>
      <c r="G227" s="31">
        <v>46150</v>
      </c>
      <c r="H227" s="31">
        <v>46153</v>
      </c>
      <c r="I227" s="23" t="s">
        <v>469</v>
      </c>
      <c r="J227" s="36">
        <f>+Tabla2[[#This Row],[DÍA DE ENTREGA]]+9</f>
        <v>46159</v>
      </c>
      <c r="K227" s="23" t="s">
        <v>468</v>
      </c>
      <c r="L227" s="99"/>
      <c r="M227" s="29"/>
      <c r="N227" s="29"/>
    </row>
    <row r="228" spans="1:14" ht="31.5" customHeight="1">
      <c r="A228" s="29" t="s">
        <v>255</v>
      </c>
      <c r="B228" s="29" t="s">
        <v>18</v>
      </c>
      <c r="C228" s="29" t="str">
        <f>A228&amp;B228</f>
        <v>DSOC</v>
      </c>
      <c r="D228" s="30" t="str">
        <f>VLOOKUP($C228,Asignaturas!$C$5:$D$261,2,0)</f>
        <v>JOSÉ LUIS CHINGUEL BELTRAN /</v>
      </c>
      <c r="E228" s="106" t="s">
        <v>14</v>
      </c>
      <c r="F228" s="23" t="s">
        <v>471</v>
      </c>
      <c r="G228" s="31">
        <v>46150</v>
      </c>
      <c r="H228" s="31">
        <v>46153</v>
      </c>
      <c r="I228" s="23" t="s">
        <v>469</v>
      </c>
      <c r="J228" s="36">
        <f>+Tabla2[[#This Row],[DÍA DE ENTREGA]]+9</f>
        <v>46159</v>
      </c>
      <c r="K228" s="23" t="s">
        <v>468</v>
      </c>
      <c r="L228" s="99"/>
      <c r="M228" s="29"/>
      <c r="N228" s="29"/>
    </row>
    <row r="229" spans="1:14" ht="31.5" customHeight="1">
      <c r="A229" s="29" t="s">
        <v>306</v>
      </c>
      <c r="B229" s="29" t="s">
        <v>7</v>
      </c>
      <c r="C229" s="29" t="str">
        <f>A229&amp;B229</f>
        <v>ESTA03005A</v>
      </c>
      <c r="D229" s="30" t="str">
        <f>VLOOKUP($C229,Asignaturas!$C$5:$D$261,2,0)</f>
        <v xml:space="preserve">RANDY JOEL FERNÁNDEZ PALOMINO / </v>
      </c>
      <c r="E229" s="56" t="s">
        <v>25</v>
      </c>
      <c r="F229" s="23" t="s">
        <v>464</v>
      </c>
      <c r="G229" s="31">
        <v>46151</v>
      </c>
      <c r="H229" s="31">
        <v>46153</v>
      </c>
      <c r="I229" s="23" t="s">
        <v>465</v>
      </c>
      <c r="J229" s="36">
        <f>+Tabla2[[#This Row],[DÍA DE ENTREGA]]+9</f>
        <v>46160</v>
      </c>
      <c r="K229" s="23" t="s">
        <v>468</v>
      </c>
      <c r="L229" s="99"/>
      <c r="M229" s="29"/>
      <c r="N229" s="29"/>
    </row>
    <row r="230" spans="1:14" ht="31.5" customHeight="1">
      <c r="A230" s="29" t="s">
        <v>236</v>
      </c>
      <c r="B230" s="29" t="s">
        <v>7</v>
      </c>
      <c r="C230" s="29" t="str">
        <f>A230&amp;B230</f>
        <v>CCDA03008A</v>
      </c>
      <c r="D230" s="30" t="str">
        <f>VLOOKUP($C230,Asignaturas!$C$5:$D$261,2,0)</f>
        <v>GERMÁN ANTONIO VEGA ACUÑA /</v>
      </c>
      <c r="E230" s="56" t="s">
        <v>25</v>
      </c>
      <c r="F230" s="23" t="s">
        <v>464</v>
      </c>
      <c r="G230" s="31">
        <v>46151</v>
      </c>
      <c r="H230" s="31">
        <v>46153</v>
      </c>
      <c r="I230" s="23" t="s">
        <v>465</v>
      </c>
      <c r="J230" s="36">
        <f>+Tabla2[[#This Row],[DÍA DE ENTREGA]]+9</f>
        <v>46160</v>
      </c>
      <c r="K230" s="23" t="s">
        <v>468</v>
      </c>
      <c r="L230" s="99"/>
      <c r="M230" s="29"/>
      <c r="N230" s="29"/>
    </row>
    <row r="231" spans="1:14" ht="31.5" customHeight="1">
      <c r="A231" s="29" t="s">
        <v>236</v>
      </c>
      <c r="B231" s="29" t="s">
        <v>15</v>
      </c>
      <c r="C231" s="29" t="str">
        <f>A231&amp;B231</f>
        <v>CCDA03008B</v>
      </c>
      <c r="D231" s="30" t="str">
        <f>VLOOKUP($C231,Asignaturas!$C$5:$D$261,2,0)</f>
        <v>GERMÁN ANTONIO VEGA ACUÑA /</v>
      </c>
      <c r="E231" s="56" t="s">
        <v>25</v>
      </c>
      <c r="F231" s="23" t="s">
        <v>464</v>
      </c>
      <c r="G231" s="31">
        <v>46151</v>
      </c>
      <c r="H231" s="31">
        <v>46153</v>
      </c>
      <c r="I231" s="23" t="s">
        <v>465</v>
      </c>
      <c r="J231" s="36">
        <f>+Tabla2[[#This Row],[DÍA DE ENTREGA]]+9</f>
        <v>46160</v>
      </c>
      <c r="K231" s="23" t="s">
        <v>468</v>
      </c>
      <c r="L231" s="99"/>
      <c r="M231" s="29"/>
      <c r="N231" s="29"/>
    </row>
    <row r="232" spans="1:14" ht="31.5" customHeight="1">
      <c r="A232" s="29" t="s">
        <v>236</v>
      </c>
      <c r="B232" s="29" t="s">
        <v>18</v>
      </c>
      <c r="C232" s="29" t="str">
        <f>A232&amp;B232</f>
        <v>CCDA03008C</v>
      </c>
      <c r="D232" s="30" t="str">
        <f>VLOOKUP($C232,Asignaturas!$C$5:$D$261,2,0)</f>
        <v>GERMÁN ANTONIO VEGA ACUÑA /</v>
      </c>
      <c r="E232" s="56" t="s">
        <v>25</v>
      </c>
      <c r="F232" s="23" t="s">
        <v>464</v>
      </c>
      <c r="G232" s="31">
        <v>46151</v>
      </c>
      <c r="H232" s="31">
        <v>46153</v>
      </c>
      <c r="I232" s="23" t="s">
        <v>465</v>
      </c>
      <c r="J232" s="36">
        <f>+Tabla2[[#This Row],[DÍA DE ENTREGA]]+9</f>
        <v>46160</v>
      </c>
      <c r="K232" s="23" t="s">
        <v>468</v>
      </c>
      <c r="L232" s="99"/>
      <c r="M232" s="29"/>
      <c r="N232" s="29"/>
    </row>
    <row r="233" spans="1:14" ht="31.5" customHeight="1">
      <c r="A233" s="29"/>
      <c r="B233" s="29"/>
      <c r="C233" s="29" t="str">
        <f>A233&amp;B233</f>
        <v/>
      </c>
      <c r="D233" s="30">
        <f>VLOOKUP($C233,Asignaturas!$C$5:$D$261,2,0)</f>
        <v>0</v>
      </c>
      <c r="E233" s="56"/>
      <c r="F233" s="23"/>
      <c r="G233" s="31"/>
      <c r="H233" s="31"/>
      <c r="I233" s="23"/>
      <c r="J233" s="36">
        <f>+Tabla2[[#This Row],[DÍA DE ENTREGA]]+8</f>
        <v>8</v>
      </c>
      <c r="K233" s="23"/>
      <c r="L233" s="99"/>
      <c r="M233" s="44"/>
      <c r="N233" s="29"/>
    </row>
    <row r="234" spans="1:14" ht="31.5" customHeight="1">
      <c r="A234" s="29"/>
      <c r="B234" s="29"/>
      <c r="C234" s="29" t="str">
        <f>A234&amp;B234</f>
        <v/>
      </c>
      <c r="D234" s="30">
        <f>VLOOKUP($C234,Asignaturas!$C$5:$D$261,2,0)</f>
        <v>0</v>
      </c>
      <c r="E234" s="56"/>
      <c r="F234" s="23"/>
      <c r="G234" s="31"/>
      <c r="H234" s="31"/>
      <c r="I234" s="23"/>
      <c r="J234" s="36">
        <f>+Tabla2[[#This Row],[DÍA DE ENTREGA]]+8</f>
        <v>8</v>
      </c>
      <c r="K234" s="23"/>
      <c r="L234" s="99"/>
      <c r="M234" s="44"/>
      <c r="N234" s="29"/>
    </row>
    <row r="235" spans="1:14" ht="31.5" customHeight="1">
      <c r="A235" s="29"/>
      <c r="B235" s="29"/>
      <c r="C235" s="29" t="str">
        <f>A235&amp;B235</f>
        <v/>
      </c>
      <c r="D235" s="30">
        <f>VLOOKUP($C235,Asignaturas!$C$5:$D$261,2,0)</f>
        <v>0</v>
      </c>
      <c r="E235" s="56"/>
      <c r="F235" s="23"/>
      <c r="G235" s="31"/>
      <c r="H235" s="31"/>
      <c r="I235" s="23"/>
      <c r="J235" s="36">
        <f>+Tabla2[[#This Row],[DÍA DE ENTREGA]]+8</f>
        <v>8</v>
      </c>
      <c r="K235" s="23"/>
      <c r="L235" s="99"/>
      <c r="M235" s="29"/>
      <c r="N235" s="29"/>
    </row>
    <row r="236" spans="1:14" ht="31.5" customHeight="1">
      <c r="A236" s="29"/>
      <c r="B236" s="29"/>
      <c r="C236" s="29" t="str">
        <f>A236&amp;B236</f>
        <v/>
      </c>
      <c r="D236" s="30">
        <f>VLOOKUP($C236,Asignaturas!$C$5:$D$261,2,0)</f>
        <v>0</v>
      </c>
      <c r="E236" s="56"/>
      <c r="F236" s="23"/>
      <c r="G236" s="31"/>
      <c r="H236" s="31"/>
      <c r="I236" s="23"/>
      <c r="J236" s="36">
        <f>+Tabla2[[#This Row],[DÍA DE ENTREGA]]+8</f>
        <v>8</v>
      </c>
      <c r="K236" s="23"/>
      <c r="L236" s="99"/>
      <c r="M236" s="29"/>
      <c r="N236" s="29"/>
    </row>
    <row r="237" spans="1:14" ht="31.5" customHeight="1">
      <c r="A237" s="29"/>
      <c r="B237" s="29"/>
      <c r="C237" s="29" t="str">
        <f>A237&amp;B237</f>
        <v/>
      </c>
      <c r="D237" s="30">
        <f>VLOOKUP($C237,Asignaturas!$C$5:$D$261,2,0)</f>
        <v>0</v>
      </c>
      <c r="E237" s="56"/>
      <c r="F237" s="23"/>
      <c r="G237" s="31"/>
      <c r="H237" s="82"/>
      <c r="I237" s="74"/>
      <c r="J237" s="75">
        <f>+Tabla2[[#This Row],[DÍA DE ENTREGA]]+8</f>
        <v>8</v>
      </c>
      <c r="K237" s="74"/>
      <c r="L237" s="101"/>
      <c r="M237" s="29"/>
      <c r="N237" s="29"/>
    </row>
    <row r="238" spans="1:14" ht="31.5" customHeight="1">
      <c r="A238" s="29"/>
      <c r="B238" s="29"/>
      <c r="C238" s="29" t="str">
        <f>A238&amp;B238</f>
        <v/>
      </c>
      <c r="D238" s="30">
        <f>VLOOKUP($C238,Asignaturas!$C$5:$D$261,2,0)</f>
        <v>0</v>
      </c>
      <c r="E238" s="56"/>
      <c r="F238" s="23"/>
      <c r="G238" s="31"/>
      <c r="H238" s="31"/>
      <c r="I238" s="23"/>
      <c r="J238" s="36">
        <f>+Tabla2[[#This Row],[DÍA DE ENTREGA]]+8</f>
        <v>8</v>
      </c>
      <c r="K238" s="23"/>
      <c r="L238" s="99"/>
      <c r="M238" s="29"/>
      <c r="N238" s="29"/>
    </row>
    <row r="239" spans="1:14" ht="31.5" customHeight="1">
      <c r="A239" s="29"/>
      <c r="B239" s="29"/>
      <c r="C239" s="29" t="str">
        <f>A239&amp;B239</f>
        <v/>
      </c>
      <c r="D239" s="30">
        <f>VLOOKUP($C239,Asignaturas!$C$5:$D$261,2,0)</f>
        <v>0</v>
      </c>
      <c r="E239" s="56"/>
      <c r="F239" s="23"/>
      <c r="G239" s="31"/>
      <c r="H239" s="31"/>
      <c r="I239" s="23"/>
      <c r="J239" s="36">
        <f>+Tabla2[[#This Row],[DÍA DE ENTREGA]]+8</f>
        <v>8</v>
      </c>
      <c r="K239" s="23"/>
      <c r="L239" s="99"/>
      <c r="M239" s="29"/>
      <c r="N239" s="29"/>
    </row>
    <row r="240" spans="1:14" ht="31.5" customHeight="1">
      <c r="A240" s="29"/>
      <c r="B240" s="29"/>
      <c r="C240" s="29" t="str">
        <f>A240&amp;B240</f>
        <v/>
      </c>
      <c r="D240" s="30">
        <f>VLOOKUP($C240,Asignaturas!$C$5:$D$261,2,0)</f>
        <v>0</v>
      </c>
      <c r="E240" s="56"/>
      <c r="F240" s="23"/>
      <c r="G240" s="31"/>
      <c r="H240" s="82"/>
      <c r="I240" s="74"/>
      <c r="J240" s="75">
        <f>+Tabla2[[#This Row],[DÍA DE ENTREGA]]+8</f>
        <v>8</v>
      </c>
      <c r="K240" s="74"/>
      <c r="L240" s="101"/>
      <c r="M240" s="29"/>
      <c r="N240" s="29"/>
    </row>
    <row r="241" spans="1:14" ht="31.5" customHeight="1">
      <c r="A241" s="29"/>
      <c r="B241" s="29"/>
      <c r="C241" s="29" t="str">
        <f>A241&amp;B241</f>
        <v/>
      </c>
      <c r="D241" s="30">
        <f>VLOOKUP($C241,Asignaturas!$C$5:$D$261,2,0)</f>
        <v>0</v>
      </c>
      <c r="E241" s="56"/>
      <c r="F241" s="23"/>
      <c r="G241" s="31"/>
      <c r="H241" s="31"/>
      <c r="I241" s="23"/>
      <c r="J241" s="36">
        <f>+Tabla2[[#This Row],[DÍA DE ENTREGA]]+8</f>
        <v>8</v>
      </c>
      <c r="K241" s="23"/>
      <c r="L241" s="99"/>
      <c r="M241" s="29"/>
      <c r="N241" s="29"/>
    </row>
    <row r="242" spans="1:14" ht="31.5" customHeight="1">
      <c r="A242" s="29"/>
      <c r="B242" s="29"/>
      <c r="C242" s="29" t="str">
        <f>A242&amp;B242</f>
        <v/>
      </c>
      <c r="D242" s="30">
        <f>VLOOKUP($C242,Asignaturas!$C$5:$D$261,2,0)</f>
        <v>0</v>
      </c>
      <c r="E242" s="56"/>
      <c r="F242" s="23"/>
      <c r="G242" s="31"/>
      <c r="H242" s="31"/>
      <c r="I242" s="23"/>
      <c r="J242" s="36">
        <f>+Tabla2[[#This Row],[DÍA DE ENTREGA]]+8</f>
        <v>8</v>
      </c>
      <c r="K242" s="23"/>
      <c r="L242" s="99"/>
      <c r="M242" s="29"/>
      <c r="N242" s="29"/>
    </row>
    <row r="243" spans="1:14" ht="31.5" customHeight="1">
      <c r="A243" s="29"/>
      <c r="B243" s="29"/>
      <c r="C243" s="29" t="str">
        <f>A243&amp;B243</f>
        <v/>
      </c>
      <c r="D243" s="30">
        <f>VLOOKUP($C243,Asignaturas!$C$5:$D$261,2,0)</f>
        <v>0</v>
      </c>
      <c r="E243" s="56"/>
      <c r="F243" s="23"/>
      <c r="G243" s="31"/>
      <c r="H243" s="31"/>
      <c r="I243" s="23"/>
      <c r="J243" s="36">
        <f>+Tabla2[[#This Row],[DÍA DE ENTREGA]]+8</f>
        <v>8</v>
      </c>
      <c r="K243" s="23"/>
      <c r="L243" s="99"/>
      <c r="M243" s="29"/>
      <c r="N243" s="29"/>
    </row>
    <row r="244" spans="1:14" ht="31.5" customHeight="1">
      <c r="A244" s="29"/>
      <c r="B244" s="29"/>
      <c r="C244" s="29" t="str">
        <f>A244&amp;B244</f>
        <v/>
      </c>
      <c r="D244" s="30">
        <f>VLOOKUP($C244,Asignaturas!$C$5:$D$261,2,0)</f>
        <v>0</v>
      </c>
      <c r="E244" s="56"/>
      <c r="F244" s="23"/>
      <c r="G244" s="31"/>
      <c r="H244" s="31"/>
      <c r="I244" s="23"/>
      <c r="J244" s="36">
        <f>+Tabla2[[#This Row],[DÍA DE ENTREGA]]+8</f>
        <v>8</v>
      </c>
      <c r="K244" s="23"/>
      <c r="L244" s="99"/>
      <c r="M244" s="29"/>
      <c r="N244" s="29"/>
    </row>
    <row r="245" spans="1:14" ht="31.5" customHeight="1">
      <c r="A245" s="29"/>
      <c r="B245" s="29"/>
      <c r="C245" s="29" t="str">
        <f>A245&amp;B245</f>
        <v/>
      </c>
      <c r="D245" s="30">
        <f>VLOOKUP($C245,Asignaturas!$C$5:$D$261,2,0)</f>
        <v>0</v>
      </c>
      <c r="E245" s="56"/>
      <c r="F245" s="23"/>
      <c r="G245" s="31"/>
      <c r="H245" s="31"/>
      <c r="I245" s="23"/>
      <c r="J245" s="36">
        <f>+Tabla2[[#This Row],[DÍA DE ENTREGA]]+8</f>
        <v>8</v>
      </c>
      <c r="K245" s="23"/>
      <c r="L245" s="99"/>
      <c r="M245" s="29"/>
      <c r="N245" s="29"/>
    </row>
    <row r="246" spans="1:14" ht="31.5" customHeight="1">
      <c r="A246" s="29"/>
      <c r="B246" s="29"/>
      <c r="C246" s="29" t="str">
        <f>A246&amp;B246</f>
        <v/>
      </c>
      <c r="D246" s="30">
        <f>VLOOKUP($C246,Asignaturas!$C$5:$D$261,2,0)</f>
        <v>0</v>
      </c>
      <c r="E246" s="56"/>
      <c r="F246" s="23"/>
      <c r="G246" s="31"/>
      <c r="H246" s="31"/>
      <c r="I246" s="23"/>
      <c r="J246" s="36">
        <f>+Tabla2[[#This Row],[DÍA DE ENTREGA]]+8</f>
        <v>8</v>
      </c>
      <c r="K246" s="23"/>
      <c r="L246" s="99"/>
      <c r="M246" s="29"/>
      <c r="N246" s="29"/>
    </row>
    <row r="247" spans="1:14" ht="31.5" customHeight="1">
      <c r="A247" s="29"/>
      <c r="B247" s="29"/>
      <c r="C247" s="29" t="str">
        <f>A247&amp;B247</f>
        <v/>
      </c>
      <c r="D247" s="30">
        <f>VLOOKUP($C247,Asignaturas!$C$5:$D$261,2,0)</f>
        <v>0</v>
      </c>
      <c r="E247" s="56"/>
      <c r="F247" s="23"/>
      <c r="G247" s="31"/>
      <c r="H247" s="31"/>
      <c r="I247" s="23"/>
      <c r="J247" s="36">
        <f>+Tabla2[[#This Row],[DÍA DE ENTREGA]]+8</f>
        <v>8</v>
      </c>
      <c r="K247" s="23"/>
      <c r="L247" s="99"/>
      <c r="M247" s="29"/>
      <c r="N247" s="29"/>
    </row>
    <row r="248" spans="1:14" ht="31.5" customHeight="1">
      <c r="A248" s="29"/>
      <c r="B248" s="29"/>
      <c r="C248" s="29" t="str">
        <f>A248&amp;B248</f>
        <v/>
      </c>
      <c r="D248" s="30">
        <f>VLOOKUP($C248,Asignaturas!$C$5:$D$261,2,0)</f>
        <v>0</v>
      </c>
      <c r="E248" s="56"/>
      <c r="F248" s="23"/>
      <c r="G248" s="31"/>
      <c r="H248" s="31"/>
      <c r="I248" s="23"/>
      <c r="J248" s="36">
        <f>+Tabla2[[#This Row],[DÍA DE ENTREGA]]+8</f>
        <v>8</v>
      </c>
      <c r="K248" s="23"/>
      <c r="L248" s="99"/>
      <c r="M248" s="29"/>
      <c r="N248" s="29"/>
    </row>
    <row r="249" spans="1:14" ht="31.5" customHeight="1">
      <c r="A249" s="29"/>
      <c r="B249" s="29"/>
      <c r="C249" s="29" t="str">
        <f>A249&amp;B249</f>
        <v/>
      </c>
      <c r="D249" s="30">
        <f>VLOOKUP($C249,Asignaturas!$C$5:$D$261,2,0)</f>
        <v>0</v>
      </c>
      <c r="E249" s="56"/>
      <c r="F249" s="23"/>
      <c r="G249" s="31"/>
      <c r="H249" s="31"/>
      <c r="I249" s="23"/>
      <c r="J249" s="36">
        <f>+Tabla2[[#This Row],[DÍA DE ENTREGA]]+8</f>
        <v>8</v>
      </c>
      <c r="K249" s="23"/>
      <c r="L249" s="99"/>
      <c r="M249" s="29"/>
      <c r="N249" s="29"/>
    </row>
    <row r="250" spans="1:14" ht="31.5" customHeight="1">
      <c r="A250" s="29"/>
      <c r="B250" s="29"/>
      <c r="C250" s="29" t="str">
        <f>A250&amp;B250</f>
        <v/>
      </c>
      <c r="D250" s="30">
        <f>VLOOKUP($C250,Asignaturas!$C$5:$D$261,2,0)</f>
        <v>0</v>
      </c>
      <c r="E250" s="56"/>
      <c r="F250" s="23"/>
      <c r="G250" s="31"/>
      <c r="H250" s="31"/>
      <c r="I250" s="23"/>
      <c r="J250" s="36">
        <f>+Tabla2[[#This Row],[DÍA DE ENTREGA]]+8</f>
        <v>8</v>
      </c>
      <c r="K250" s="23"/>
      <c r="L250" s="99"/>
      <c r="M250" s="41"/>
      <c r="N250" s="29"/>
    </row>
    <row r="251" spans="1:14" ht="31.5" customHeight="1">
      <c r="A251" s="29"/>
      <c r="B251" s="29"/>
      <c r="C251" s="29" t="str">
        <f>A251&amp;B251</f>
        <v/>
      </c>
      <c r="D251" s="30">
        <f>VLOOKUP($C251,Asignaturas!$C$5:$D$261,2,0)</f>
        <v>0</v>
      </c>
      <c r="E251" s="56"/>
      <c r="F251" s="23"/>
      <c r="G251" s="82"/>
      <c r="H251" s="82"/>
      <c r="I251" s="74"/>
      <c r="J251" s="75">
        <f>+Tabla2[[#This Row],[DÍA DE ENTREGA]]+8</f>
        <v>8</v>
      </c>
      <c r="K251" s="74"/>
      <c r="L251" s="101"/>
      <c r="M251" s="29"/>
      <c r="N251" s="29"/>
    </row>
    <row r="252" spans="1:14" ht="31.5" customHeight="1">
      <c r="A252" s="29"/>
      <c r="B252" s="29"/>
      <c r="C252" s="29" t="str">
        <f>A252&amp;B252</f>
        <v/>
      </c>
      <c r="D252" s="30">
        <f>VLOOKUP($C252,Asignaturas!$C$5:$D$261,2,0)</f>
        <v>0</v>
      </c>
      <c r="E252" s="56"/>
      <c r="F252" s="23"/>
      <c r="G252" s="31"/>
      <c r="H252" s="31"/>
      <c r="I252" s="23"/>
      <c r="J252" s="36">
        <f>+Tabla2[[#This Row],[DÍA DE ENTREGA]]+8</f>
        <v>8</v>
      </c>
      <c r="K252" s="23"/>
      <c r="L252" s="99"/>
      <c r="M252" s="29"/>
      <c r="N252" s="29"/>
    </row>
    <row r="253" spans="1:14" ht="31.5" customHeight="1">
      <c r="A253" s="29"/>
      <c r="B253" s="29"/>
      <c r="C253" s="29" t="str">
        <f>A253&amp;B253</f>
        <v/>
      </c>
      <c r="D253" s="30">
        <f>VLOOKUP($C253,Asignaturas!$C$5:$D$261,2,0)</f>
        <v>0</v>
      </c>
      <c r="E253" s="56"/>
      <c r="F253" s="23"/>
      <c r="G253" s="31"/>
      <c r="H253" s="31"/>
      <c r="I253" s="23"/>
      <c r="J253" s="36">
        <f>+Tabla2[[#This Row],[DÍA DE ENTREGA]]+8</f>
        <v>8</v>
      </c>
      <c r="K253" s="23"/>
      <c r="L253" s="99"/>
      <c r="M253" s="29"/>
      <c r="N253" s="29"/>
    </row>
    <row r="254" spans="1:14" ht="31.5" customHeight="1">
      <c r="A254" s="29"/>
      <c r="B254" s="29"/>
      <c r="C254" s="29" t="str">
        <f>A254&amp;B254</f>
        <v/>
      </c>
      <c r="D254" s="30">
        <f>VLOOKUP($C254,Asignaturas!$C$5:$D$261,2,0)</f>
        <v>0</v>
      </c>
      <c r="E254" s="56"/>
      <c r="F254" s="23"/>
      <c r="G254" s="31"/>
      <c r="H254" s="31"/>
      <c r="I254" s="23"/>
      <c r="J254" s="36">
        <f>+Tabla2[[#This Row],[DÍA DE ENTREGA]]+8</f>
        <v>8</v>
      </c>
      <c r="K254" s="23"/>
      <c r="L254" s="99"/>
      <c r="M254" s="29"/>
      <c r="N254" s="29"/>
    </row>
    <row r="255" spans="1:14" ht="31.5" customHeight="1">
      <c r="A255" s="59"/>
      <c r="B255" s="59"/>
      <c r="C255" s="59" t="str">
        <f>A255&amp;B255</f>
        <v/>
      </c>
      <c r="D255" s="60">
        <f>VLOOKUP($C255,Asignaturas!$C$5:$D$261,2,0)</f>
        <v>0</v>
      </c>
      <c r="E255" s="96"/>
      <c r="F255" s="23"/>
      <c r="G255" s="31"/>
      <c r="H255" s="31"/>
      <c r="I255" s="23"/>
      <c r="J255" s="36">
        <f>+Tabla2[[#This Row],[DÍA DE ENTREGA]]+8</f>
        <v>8</v>
      </c>
      <c r="K255" s="23"/>
      <c r="L255" s="100"/>
      <c r="M255" s="59"/>
      <c r="N255" s="29"/>
    </row>
    <row r="256" spans="1:14" ht="31.5" customHeight="1">
      <c r="A256" s="29"/>
      <c r="B256" s="29"/>
      <c r="C256" s="29" t="str">
        <f>A256&amp;B256</f>
        <v/>
      </c>
      <c r="D256" s="30">
        <f>VLOOKUP($C256,Asignaturas!$C$5:$D$261,2,0)</f>
        <v>0</v>
      </c>
      <c r="E256" s="56"/>
      <c r="F256" s="23"/>
      <c r="G256" s="31"/>
      <c r="H256" s="31"/>
      <c r="I256" s="23"/>
      <c r="J256" s="36">
        <f>+Tabla2[[#This Row],[DÍA DE ENTREGA]]+8</f>
        <v>8</v>
      </c>
      <c r="K256" s="23"/>
      <c r="L256" s="99"/>
      <c r="M256" s="29"/>
      <c r="N256" s="29"/>
    </row>
    <row r="257" spans="1:14" ht="31.5" customHeight="1">
      <c r="A257" s="29"/>
      <c r="B257" s="29"/>
      <c r="C257" s="29" t="str">
        <f>A257&amp;B257</f>
        <v/>
      </c>
      <c r="D257" s="30">
        <f>VLOOKUP($C257,Asignaturas!$C$5:$D$261,2,0)</f>
        <v>0</v>
      </c>
      <c r="E257" s="56"/>
      <c r="F257" s="23"/>
      <c r="G257" s="31"/>
      <c r="H257" s="31"/>
      <c r="I257" s="23"/>
      <c r="J257" s="36">
        <f>+Tabla2[[#This Row],[DÍA DE ENTREGA]]+8</f>
        <v>8</v>
      </c>
      <c r="K257" s="23"/>
      <c r="L257" s="99"/>
      <c r="M257" s="44"/>
      <c r="N257" s="29"/>
    </row>
    <row r="258" spans="1:14" ht="31.5" customHeight="1">
      <c r="A258" s="29"/>
      <c r="B258" s="29"/>
      <c r="C258" s="29" t="str">
        <f>A258&amp;B258</f>
        <v/>
      </c>
      <c r="D258" s="30">
        <f>VLOOKUP($C258,Asignaturas!$C$5:$D$261,2,0)</f>
        <v>0</v>
      </c>
      <c r="E258" s="56"/>
      <c r="F258" s="23"/>
      <c r="G258" s="31"/>
      <c r="H258" s="31"/>
      <c r="I258" s="23"/>
      <c r="J258" s="36">
        <f>+Tabla2[[#This Row],[DÍA DE ENTREGA]]+8</f>
        <v>8</v>
      </c>
      <c r="K258" s="23"/>
      <c r="L258" s="99"/>
      <c r="M258" s="29"/>
      <c r="N258" s="29"/>
    </row>
    <row r="259" spans="1:14" ht="31.5" customHeight="1">
      <c r="A259" s="29"/>
      <c r="B259" s="29"/>
      <c r="C259" s="29" t="str">
        <f>A259&amp;B259</f>
        <v/>
      </c>
      <c r="D259" s="30">
        <f>VLOOKUP($C259,Asignaturas!$C$5:$D$261,2,0)</f>
        <v>0</v>
      </c>
      <c r="E259" s="96"/>
      <c r="F259" s="23"/>
      <c r="G259" s="31"/>
      <c r="H259" s="31"/>
      <c r="I259" s="23"/>
      <c r="J259" s="36">
        <f>+Tabla2[[#This Row],[DÍA DE ENTREGA]]+8</f>
        <v>8</v>
      </c>
      <c r="K259" s="23"/>
      <c r="L259" s="99"/>
      <c r="M259" s="29"/>
      <c r="N259" s="29"/>
    </row>
    <row r="260" spans="1:14" ht="31.5" customHeight="1">
      <c r="A260" s="29"/>
      <c r="B260" s="29"/>
      <c r="C260" s="29" t="str">
        <f>A260&amp;B260</f>
        <v/>
      </c>
      <c r="D260" s="30">
        <f>VLOOKUP($C260,Asignaturas!$C$5:$D$261,2,0)</f>
        <v>0</v>
      </c>
      <c r="E260" s="56"/>
      <c r="F260" s="23"/>
      <c r="G260" s="31"/>
      <c r="H260" s="31"/>
      <c r="I260" s="23"/>
      <c r="J260" s="36">
        <f>+Tabla2[[#This Row],[DÍA DE ENTREGA]]+8</f>
        <v>8</v>
      </c>
      <c r="K260" s="23"/>
      <c r="L260" s="99"/>
      <c r="M260" s="29"/>
      <c r="N260" s="29"/>
    </row>
    <row r="261" spans="1:14" ht="31.5" customHeight="1">
      <c r="A261" s="29"/>
      <c r="B261" s="29"/>
      <c r="C261" s="29" t="str">
        <f>A261&amp;B261</f>
        <v/>
      </c>
      <c r="D261" s="30">
        <f>VLOOKUP($C261,Asignaturas!$C$5:$D$261,2,0)</f>
        <v>0</v>
      </c>
      <c r="E261" s="56"/>
      <c r="F261" s="23"/>
      <c r="G261" s="31"/>
      <c r="H261" s="31"/>
      <c r="I261" s="23"/>
      <c r="J261" s="36">
        <f>+Tabla2[[#This Row],[DÍA DE ENTREGA]]+8</f>
        <v>8</v>
      </c>
      <c r="K261" s="23"/>
      <c r="L261" s="99"/>
      <c r="M261" s="29"/>
      <c r="N261" s="29"/>
    </row>
    <row r="262" spans="1:14" ht="31.5" customHeight="1">
      <c r="A262" s="29"/>
      <c r="B262" s="29"/>
      <c r="C262" s="29" t="str">
        <f>A262&amp;B262</f>
        <v/>
      </c>
      <c r="D262" s="30">
        <f>VLOOKUP($C262,Asignaturas!$C$5:$D$261,2,0)</f>
        <v>0</v>
      </c>
      <c r="E262" s="56"/>
      <c r="F262" s="23"/>
      <c r="G262" s="31"/>
      <c r="H262" s="31"/>
      <c r="I262" s="23"/>
      <c r="J262" s="36">
        <f>+Tabla2[[#This Row],[DÍA DE ENTREGA]]+8</f>
        <v>8</v>
      </c>
      <c r="K262" s="23"/>
      <c r="L262" s="99"/>
      <c r="M262" s="29"/>
      <c r="N262" s="29"/>
    </row>
    <row r="263" spans="1:14" ht="31.5" customHeight="1">
      <c r="A263" s="29"/>
      <c r="B263" s="29"/>
      <c r="C263" s="29" t="str">
        <f>A263&amp;B263</f>
        <v/>
      </c>
      <c r="D263" s="30">
        <f>VLOOKUP($C263,Asignaturas!$C$5:$D$261,2,0)</f>
        <v>0</v>
      </c>
      <c r="E263" s="56"/>
      <c r="F263" s="23"/>
      <c r="G263" s="31"/>
      <c r="H263" s="31"/>
      <c r="I263" s="23"/>
      <c r="J263" s="36">
        <f>+Tabla2[[#This Row],[DÍA DE ENTREGA]]+8</f>
        <v>8</v>
      </c>
      <c r="K263" s="23"/>
      <c r="L263" s="99"/>
      <c r="M263" s="29"/>
      <c r="N263" s="29"/>
    </row>
    <row r="264" spans="1:14" ht="31.5" customHeight="1">
      <c r="A264" s="29"/>
      <c r="B264" s="29"/>
      <c r="C264" s="29" t="str">
        <f>A264&amp;B264</f>
        <v/>
      </c>
      <c r="D264" s="30">
        <f>VLOOKUP($C264,Asignaturas!$C$5:$D$261,2,0)</f>
        <v>0</v>
      </c>
      <c r="E264" s="56"/>
      <c r="F264" s="23"/>
      <c r="G264" s="31"/>
      <c r="H264" s="31"/>
      <c r="I264" s="23"/>
      <c r="J264" s="36">
        <f>+Tabla2[[#This Row],[DÍA DE ENTREGA]]+8</f>
        <v>8</v>
      </c>
      <c r="K264" s="23"/>
      <c r="L264" s="99"/>
      <c r="M264" s="41"/>
      <c r="N264" s="29"/>
    </row>
    <row r="265" spans="1:14" ht="31.5" customHeight="1">
      <c r="A265" s="29"/>
      <c r="B265" s="29"/>
      <c r="C265" s="29" t="str">
        <f>A265&amp;B265</f>
        <v/>
      </c>
      <c r="D265" s="30">
        <f>VLOOKUP($C265,Asignaturas!$C$5:$D$261,2,0)</f>
        <v>0</v>
      </c>
      <c r="E265" s="56"/>
      <c r="F265" s="23"/>
      <c r="G265" s="31"/>
      <c r="H265" s="31"/>
      <c r="I265" s="23"/>
      <c r="J265" s="36">
        <f>+Tabla2[[#This Row],[DÍA DE ENTREGA]]+8</f>
        <v>8</v>
      </c>
      <c r="K265" s="23"/>
      <c r="L265" s="99"/>
      <c r="M265" s="41"/>
      <c r="N265" s="29"/>
    </row>
    <row r="266" spans="1:14" ht="31.5" customHeight="1">
      <c r="A266" s="29"/>
      <c r="B266" s="29"/>
      <c r="C266" s="29" t="str">
        <f>A266&amp;B266</f>
        <v/>
      </c>
      <c r="D266" s="30">
        <f>VLOOKUP($C266,Asignaturas!$C$5:$D$261,2,0)</f>
        <v>0</v>
      </c>
      <c r="E266" s="56"/>
      <c r="F266" s="23"/>
      <c r="G266" s="31"/>
      <c r="H266" s="31"/>
      <c r="I266" s="23"/>
      <c r="J266" s="36">
        <f>+Tabla2[[#This Row],[DÍA DE ENTREGA]]+8</f>
        <v>8</v>
      </c>
      <c r="K266" s="23"/>
      <c r="L266" s="99"/>
      <c r="M266" s="41"/>
      <c r="N266" s="29"/>
    </row>
    <row r="267" spans="1:14" ht="31.5" customHeight="1">
      <c r="A267" s="29"/>
      <c r="B267" s="29"/>
      <c r="C267" s="29" t="str">
        <f>A267&amp;B267</f>
        <v/>
      </c>
      <c r="D267" s="30">
        <f>VLOOKUP($C267,Asignaturas!$C$5:$D$261,2,0)</f>
        <v>0</v>
      </c>
      <c r="E267" s="56"/>
      <c r="F267" s="23"/>
      <c r="G267" s="31"/>
      <c r="H267" s="31"/>
      <c r="I267" s="23"/>
      <c r="J267" s="36">
        <f>+Tabla2[[#This Row],[DÍA DE ENTREGA]]+8</f>
        <v>8</v>
      </c>
      <c r="K267" s="23"/>
      <c r="L267" s="99"/>
      <c r="M267" s="41"/>
      <c r="N267" s="29"/>
    </row>
    <row r="268" spans="1:14" ht="31.5" customHeight="1">
      <c r="A268" s="29"/>
      <c r="B268" s="29"/>
      <c r="C268" s="29" t="str">
        <f>A268&amp;B268</f>
        <v/>
      </c>
      <c r="D268" s="30">
        <f>VLOOKUP($C268,Asignaturas!$C$5:$D$261,2,0)</f>
        <v>0</v>
      </c>
      <c r="E268" s="56"/>
      <c r="F268" s="23"/>
      <c r="G268" s="31"/>
      <c r="H268" s="31"/>
      <c r="I268" s="23"/>
      <c r="J268" s="36">
        <f>+Tabla2[[#This Row],[DÍA DE ENTREGA]]+8</f>
        <v>8</v>
      </c>
      <c r="K268" s="23"/>
      <c r="L268" s="64"/>
      <c r="M268" s="64"/>
      <c r="N268" s="29"/>
    </row>
    <row r="269" spans="1:14" ht="31.5" customHeight="1">
      <c r="A269" s="29"/>
      <c r="B269" s="29"/>
      <c r="C269" s="29" t="str">
        <f>A269&amp;B269</f>
        <v/>
      </c>
      <c r="D269" s="30">
        <f>VLOOKUP($C269,Asignaturas!$C$5:$D$261,2,0)</f>
        <v>0</v>
      </c>
      <c r="E269" s="56"/>
      <c r="F269" s="23"/>
      <c r="G269" s="31"/>
      <c r="H269" s="31"/>
      <c r="I269" s="23"/>
      <c r="J269" s="36">
        <f>+Tabla2[[#This Row],[DÍA DE ENTREGA]]+8</f>
        <v>8</v>
      </c>
      <c r="K269" s="23"/>
      <c r="L269" s="99"/>
      <c r="M269" s="29"/>
      <c r="N269" s="29"/>
    </row>
    <row r="270" spans="1:14" ht="31.5" customHeight="1">
      <c r="A270" s="29"/>
      <c r="B270" s="29"/>
      <c r="C270" s="29" t="str">
        <f>A270&amp;B270</f>
        <v/>
      </c>
      <c r="D270" s="30">
        <f>VLOOKUP($C270,Asignaturas!$C$5:$D$261,2,0)</f>
        <v>0</v>
      </c>
      <c r="E270" s="56"/>
      <c r="F270" s="23"/>
      <c r="G270" s="31"/>
      <c r="H270" s="31"/>
      <c r="I270" s="23"/>
      <c r="J270" s="36">
        <f>+Tabla2[[#This Row],[DÍA DE ENTREGA]]+8</f>
        <v>8</v>
      </c>
      <c r="K270" s="23"/>
      <c r="L270" s="99"/>
      <c r="M270" s="29"/>
      <c r="N270" s="29"/>
    </row>
    <row r="271" spans="1:14" ht="31.5" customHeight="1">
      <c r="A271" s="29"/>
      <c r="B271" s="29"/>
      <c r="C271" s="29" t="str">
        <f>A271&amp;B271</f>
        <v/>
      </c>
      <c r="D271" s="30">
        <f>VLOOKUP($C271,Asignaturas!$C$5:$D$261,2,0)</f>
        <v>0</v>
      </c>
      <c r="E271" s="56"/>
      <c r="F271" s="23"/>
      <c r="G271" s="31"/>
      <c r="H271" s="31"/>
      <c r="I271" s="23"/>
      <c r="J271" s="36">
        <f>+Tabla2[[#This Row],[DÍA DE ENTREGA]]+8</f>
        <v>8</v>
      </c>
      <c r="K271" s="23"/>
      <c r="L271" s="99"/>
      <c r="M271" s="29"/>
      <c r="N271" s="29"/>
    </row>
    <row r="272" spans="1:14" ht="31.5" customHeight="1">
      <c r="A272" s="29"/>
      <c r="B272" s="29"/>
      <c r="C272" s="29" t="str">
        <f>A272&amp;B272</f>
        <v/>
      </c>
      <c r="D272" s="30">
        <f>VLOOKUP($C272,Asignaturas!$C$5:$D$261,2,0)</f>
        <v>0</v>
      </c>
      <c r="E272" s="56"/>
      <c r="F272" s="23"/>
      <c r="G272" s="31"/>
      <c r="H272" s="31"/>
      <c r="I272" s="23"/>
      <c r="J272" s="36">
        <f>+Tabla2[[#This Row],[DÍA DE ENTREGA]]+8</f>
        <v>8</v>
      </c>
      <c r="K272" s="23"/>
      <c r="L272" s="99"/>
      <c r="M272" s="29"/>
      <c r="N272" s="29"/>
    </row>
    <row r="273" spans="1:14" ht="31.5" customHeight="1">
      <c r="A273" s="29"/>
      <c r="B273" s="29"/>
      <c r="C273" s="29" t="str">
        <f>A273&amp;B273</f>
        <v/>
      </c>
      <c r="D273" s="30">
        <f>VLOOKUP($C273,Asignaturas!$C$5:$D$261,2,0)</f>
        <v>0</v>
      </c>
      <c r="E273" s="56"/>
      <c r="F273" s="23"/>
      <c r="G273" s="31"/>
      <c r="H273" s="31"/>
      <c r="I273" s="23"/>
      <c r="J273" s="36">
        <f>+Tabla2[[#This Row],[DÍA DE ENTREGA]]+8</f>
        <v>8</v>
      </c>
      <c r="K273" s="23"/>
      <c r="L273" s="99"/>
      <c r="M273" s="29"/>
      <c r="N273" s="29"/>
    </row>
    <row r="274" spans="1:14" ht="31.5" customHeight="1">
      <c r="A274" s="29"/>
      <c r="B274" s="29"/>
      <c r="C274" s="29" t="str">
        <f>A274&amp;B274</f>
        <v/>
      </c>
      <c r="D274" s="30">
        <f>VLOOKUP($C274,Asignaturas!$C$5:$D$261,2,0)</f>
        <v>0</v>
      </c>
      <c r="E274" s="56"/>
      <c r="F274" s="23"/>
      <c r="G274" s="31"/>
      <c r="H274" s="31"/>
      <c r="I274" s="23"/>
      <c r="J274" s="36">
        <f>+Tabla2[[#This Row],[DÍA DE ENTREGA]]+8</f>
        <v>8</v>
      </c>
      <c r="K274" s="23"/>
      <c r="L274" s="99"/>
      <c r="M274" s="44"/>
      <c r="N274" s="29"/>
    </row>
    <row r="275" spans="1:14" ht="31.5" customHeight="1">
      <c r="A275" s="29"/>
      <c r="B275" s="29"/>
      <c r="C275" s="29" t="str">
        <f>A275&amp;B275</f>
        <v/>
      </c>
      <c r="D275" s="30">
        <f>VLOOKUP($C275,Asignaturas!$C$5:$D$261,2,0)</f>
        <v>0</v>
      </c>
      <c r="E275" s="56"/>
      <c r="F275" s="23"/>
      <c r="G275" s="31"/>
      <c r="H275" s="31"/>
      <c r="I275" s="23"/>
      <c r="J275" s="36">
        <f>+Tabla2[[#This Row],[DÍA DE ENTREGA]]+8</f>
        <v>8</v>
      </c>
      <c r="K275" s="23"/>
      <c r="L275" s="99"/>
      <c r="M275" s="29"/>
      <c r="N275" s="29"/>
    </row>
    <row r="276" spans="1:14" ht="31.5" customHeight="1">
      <c r="A276" s="29"/>
      <c r="B276" s="29"/>
      <c r="C276" s="29" t="str">
        <f>A276&amp;B276</f>
        <v/>
      </c>
      <c r="D276" s="30">
        <f>VLOOKUP($C276,Asignaturas!$C$5:$D$261,2,0)</f>
        <v>0</v>
      </c>
      <c r="E276" s="56"/>
      <c r="F276" s="23"/>
      <c r="G276" s="31"/>
      <c r="H276" s="31"/>
      <c r="I276" s="23"/>
      <c r="J276" s="36">
        <f>+Tabla2[[#This Row],[DÍA DE ENTREGA]]+8</f>
        <v>8</v>
      </c>
      <c r="K276" s="23"/>
      <c r="L276" s="99"/>
      <c r="M276" s="29"/>
      <c r="N276" s="29"/>
    </row>
    <row r="277" spans="1:14" ht="31.5" customHeight="1">
      <c r="A277" s="29"/>
      <c r="B277" s="29"/>
      <c r="C277" s="29" t="str">
        <f>A277&amp;B277</f>
        <v/>
      </c>
      <c r="D277" s="30">
        <f>VLOOKUP($C277,Asignaturas!$C$5:$D$261,2,0)</f>
        <v>0</v>
      </c>
      <c r="E277" s="56"/>
      <c r="F277" s="23"/>
      <c r="G277" s="31"/>
      <c r="H277" s="31"/>
      <c r="I277" s="23"/>
      <c r="J277" s="36">
        <f>+Tabla2[[#This Row],[DÍA DE ENTREGA]]+8</f>
        <v>8</v>
      </c>
      <c r="K277" s="23"/>
      <c r="L277" s="99"/>
      <c r="M277" s="29"/>
      <c r="N277" s="29"/>
    </row>
    <row r="278" spans="1:14" ht="31.5" customHeight="1">
      <c r="A278" s="29"/>
      <c r="B278" s="29"/>
      <c r="C278" s="29" t="str">
        <f>A278&amp;B278</f>
        <v/>
      </c>
      <c r="D278" s="30">
        <f>VLOOKUP($C278,Asignaturas!$C$5:$D$261,2,0)</f>
        <v>0</v>
      </c>
      <c r="E278" s="56"/>
      <c r="F278" s="23"/>
      <c r="G278" s="31"/>
      <c r="H278" s="31"/>
      <c r="I278" s="23"/>
      <c r="J278" s="36">
        <f>+Tabla2[[#This Row],[DÍA DE ENTREGA]]+8</f>
        <v>8</v>
      </c>
      <c r="K278" s="23"/>
      <c r="L278" s="99"/>
      <c r="M278" s="64"/>
      <c r="N278" s="29"/>
    </row>
    <row r="279" spans="1:14" ht="31.5" customHeight="1">
      <c r="A279" s="29"/>
      <c r="B279" s="29"/>
      <c r="C279" s="29" t="str">
        <f>A279&amp;B279</f>
        <v/>
      </c>
      <c r="D279" s="30">
        <f>VLOOKUP($C279,Asignaturas!$C$5:$D$261,2,0)</f>
        <v>0</v>
      </c>
      <c r="E279" s="56"/>
      <c r="F279" s="23"/>
      <c r="G279" s="82"/>
      <c r="H279" s="82"/>
      <c r="I279" s="74"/>
      <c r="J279" s="75">
        <f>+Tabla2[[#This Row],[DÍA DE ENTREGA]]+8</f>
        <v>8</v>
      </c>
      <c r="K279" s="74"/>
      <c r="L279" s="101"/>
      <c r="M279" s="29"/>
      <c r="N279" s="29"/>
    </row>
    <row r="280" spans="1:14" ht="31.5" customHeight="1">
      <c r="A280" s="29"/>
      <c r="B280" s="29"/>
      <c r="C280" s="29" t="str">
        <f>A280&amp;B280</f>
        <v/>
      </c>
      <c r="D280" s="30">
        <f>VLOOKUP($C280,Asignaturas!$C$5:$D$261,2,0)</f>
        <v>0</v>
      </c>
      <c r="E280" s="56"/>
      <c r="F280" s="23"/>
      <c r="G280" s="31"/>
      <c r="H280" s="31"/>
      <c r="I280" s="23"/>
      <c r="J280" s="36">
        <f>+Tabla2[[#This Row],[DÍA DE ENTREGA]]+8</f>
        <v>8</v>
      </c>
      <c r="K280" s="23"/>
      <c r="L280" s="99"/>
      <c r="M280" s="29"/>
      <c r="N280" s="29"/>
    </row>
    <row r="281" spans="1:14" ht="31.5" customHeight="1">
      <c r="A281" s="29"/>
      <c r="B281" s="29"/>
      <c r="C281" s="29" t="str">
        <f>A281&amp;B281</f>
        <v/>
      </c>
      <c r="D281" s="30">
        <f>VLOOKUP($C281,Asignaturas!$C$5:$D$261,2,0)</f>
        <v>0</v>
      </c>
      <c r="E281" s="97"/>
      <c r="F281" s="23"/>
      <c r="G281" s="31"/>
      <c r="H281" s="31"/>
      <c r="I281" s="23"/>
      <c r="J281" s="36">
        <f>+Tabla2[[#This Row],[DÍA DE ENTREGA]]+8</f>
        <v>8</v>
      </c>
      <c r="K281" s="23"/>
      <c r="L281" s="99"/>
      <c r="M281" s="29"/>
      <c r="N281" s="29"/>
    </row>
    <row r="282" spans="1:14" ht="31.5" customHeight="1">
      <c r="A282" s="29"/>
      <c r="B282" s="29"/>
      <c r="C282" s="29" t="str">
        <f>A282&amp;B282</f>
        <v/>
      </c>
      <c r="D282" s="30">
        <f>VLOOKUP($C282,Asignaturas!$C$5:$D$261,2,0)</f>
        <v>0</v>
      </c>
      <c r="E282" s="56"/>
      <c r="F282" s="23"/>
      <c r="G282" s="31"/>
      <c r="H282" s="31"/>
      <c r="I282" s="23"/>
      <c r="J282" s="36">
        <f>+Tabla2[[#This Row],[DÍA DE ENTREGA]]+8</f>
        <v>8</v>
      </c>
      <c r="K282" s="23"/>
      <c r="L282" s="99"/>
      <c r="M282" s="29"/>
      <c r="N282" s="29"/>
    </row>
    <row r="283" spans="1:14" ht="31.5" customHeight="1">
      <c r="A283" s="29"/>
      <c r="B283" s="29"/>
      <c r="C283" s="29" t="str">
        <f>A283&amp;B283</f>
        <v/>
      </c>
      <c r="D283" s="30">
        <f>VLOOKUP($C283,Asignaturas!$C$5:$D$261,2,0)</f>
        <v>0</v>
      </c>
      <c r="E283" s="56"/>
      <c r="F283" s="23"/>
      <c r="G283" s="31"/>
      <c r="H283" s="31"/>
      <c r="I283" s="23"/>
      <c r="J283" s="36">
        <f>+Tabla2[[#This Row],[DÍA DE ENTREGA]]+8</f>
        <v>8</v>
      </c>
      <c r="K283" s="23"/>
      <c r="L283" s="99"/>
      <c r="M283" s="41"/>
      <c r="N283" s="29"/>
    </row>
    <row r="284" spans="1:14" ht="31.5" customHeight="1">
      <c r="A284" s="29"/>
      <c r="B284" s="29"/>
      <c r="C284" s="29" t="str">
        <f>A284&amp;B284</f>
        <v/>
      </c>
      <c r="D284" s="30">
        <f>VLOOKUP($C284,Asignaturas!$C$5:$D$261,2,0)</f>
        <v>0</v>
      </c>
      <c r="E284" s="56"/>
      <c r="F284" s="23"/>
      <c r="G284" s="31"/>
      <c r="H284" s="31"/>
      <c r="I284" s="23"/>
      <c r="J284" s="36">
        <f>+Tabla2[[#This Row],[DÍA DE ENTREGA]]+8</f>
        <v>8</v>
      </c>
      <c r="K284" s="23"/>
      <c r="L284" s="99"/>
      <c r="M284" s="29"/>
      <c r="N284" s="29"/>
    </row>
    <row r="285" spans="1:14" ht="31.5" customHeight="1">
      <c r="A285" s="29"/>
      <c r="B285" s="29"/>
      <c r="C285" s="29" t="str">
        <f>A285&amp;B285</f>
        <v/>
      </c>
      <c r="D285" s="30">
        <f>VLOOKUP($C285,Asignaturas!$C$5:$D$261,2,0)</f>
        <v>0</v>
      </c>
      <c r="E285" s="56"/>
      <c r="F285" s="23"/>
      <c r="G285" s="82"/>
      <c r="H285" s="82"/>
      <c r="I285" s="74"/>
      <c r="J285" s="75">
        <f>+Tabla2[[#This Row],[DÍA DE ENTREGA]]+8</f>
        <v>8</v>
      </c>
      <c r="K285" s="74"/>
      <c r="L285" s="101"/>
      <c r="M285" s="29"/>
      <c r="N285" s="29"/>
    </row>
    <row r="286" spans="1:14" ht="31.5" customHeight="1">
      <c r="A286" s="29"/>
      <c r="B286" s="29"/>
      <c r="C286" s="29" t="str">
        <f>A286&amp;B286</f>
        <v/>
      </c>
      <c r="D286" s="30">
        <f>VLOOKUP($C286,Asignaturas!$C$5:$D$261,2,0)</f>
        <v>0</v>
      </c>
      <c r="E286" s="56"/>
      <c r="F286" s="23"/>
      <c r="G286" s="31"/>
      <c r="H286" s="31"/>
      <c r="I286" s="23"/>
      <c r="J286" s="36">
        <f>+Tabla2[[#This Row],[DÍA DE ENTREGA]]+8</f>
        <v>8</v>
      </c>
      <c r="K286" s="23"/>
      <c r="L286" s="99"/>
      <c r="M286" s="29"/>
      <c r="N286" s="29"/>
    </row>
    <row r="287" spans="1:14" ht="31.5" customHeight="1">
      <c r="A287" s="29"/>
      <c r="B287" s="29"/>
      <c r="C287" s="29" t="str">
        <f>A287&amp;B287</f>
        <v/>
      </c>
      <c r="D287" s="30">
        <f>VLOOKUP($C287,Asignaturas!$C$5:$D$261,2,0)</f>
        <v>0</v>
      </c>
      <c r="E287" s="56"/>
      <c r="F287" s="23"/>
      <c r="G287" s="31"/>
      <c r="H287" s="31"/>
      <c r="I287" s="23"/>
      <c r="J287" s="36">
        <f>+Tabla2[[#This Row],[DÍA DE ENTREGA]]+8</f>
        <v>8</v>
      </c>
      <c r="K287" s="23"/>
      <c r="L287" s="99"/>
      <c r="M287" s="30"/>
      <c r="N287" s="29"/>
    </row>
    <row r="288" spans="1:14" ht="31.5" customHeight="1">
      <c r="A288" s="29"/>
      <c r="B288" s="29"/>
      <c r="C288" s="29" t="str">
        <f>A288&amp;B288</f>
        <v/>
      </c>
      <c r="D288" s="30">
        <f>VLOOKUP($C288,Asignaturas!$C$5:$D$261,2,0)</f>
        <v>0</v>
      </c>
      <c r="E288" s="56"/>
      <c r="F288" s="23"/>
      <c r="G288" s="31"/>
      <c r="H288" s="31"/>
      <c r="I288" s="23"/>
      <c r="J288" s="36">
        <f>+Tabla2[[#This Row],[DÍA DE ENTREGA]]+8</f>
        <v>8</v>
      </c>
      <c r="K288" s="23"/>
      <c r="L288" s="99"/>
      <c r="M288" s="29"/>
      <c r="N288" s="29"/>
    </row>
    <row r="289" spans="1:14" ht="31.5" customHeight="1">
      <c r="A289" s="29"/>
      <c r="B289" s="29"/>
      <c r="C289" s="29" t="str">
        <f>A289&amp;B289</f>
        <v/>
      </c>
      <c r="D289" s="30">
        <f>VLOOKUP($C289,Asignaturas!$C$5:$D$261,2,0)</f>
        <v>0</v>
      </c>
      <c r="E289" s="56"/>
      <c r="F289" s="23"/>
      <c r="G289" s="31"/>
      <c r="H289" s="31"/>
      <c r="I289" s="23"/>
      <c r="J289" s="36">
        <f>+Tabla2[[#This Row],[DÍA DE ENTREGA]]+8</f>
        <v>8</v>
      </c>
      <c r="K289" s="23"/>
      <c r="L289" s="99"/>
      <c r="M289" s="29"/>
      <c r="N289" s="29"/>
    </row>
    <row r="290" spans="1:14" ht="31.5" customHeight="1">
      <c r="A290" s="29"/>
      <c r="B290" s="29"/>
      <c r="C290" s="29" t="str">
        <f>A290&amp;B290</f>
        <v/>
      </c>
      <c r="D290" s="30">
        <f>VLOOKUP($C290,Asignaturas!$C$5:$D$261,2,0)</f>
        <v>0</v>
      </c>
      <c r="E290" s="56"/>
      <c r="F290" s="23"/>
      <c r="G290" s="31"/>
      <c r="H290" s="31"/>
      <c r="I290" s="23"/>
      <c r="J290" s="36">
        <f>+Tabla2[[#This Row],[DÍA DE ENTREGA]]+8</f>
        <v>8</v>
      </c>
      <c r="K290" s="23"/>
      <c r="L290" s="99"/>
      <c r="M290" s="29"/>
      <c r="N290" s="29"/>
    </row>
    <row r="291" spans="1:14" ht="31.5" customHeight="1">
      <c r="A291" s="29"/>
      <c r="B291" s="29"/>
      <c r="C291" s="29" t="str">
        <f>A291&amp;B291</f>
        <v/>
      </c>
      <c r="D291" s="30">
        <f>VLOOKUP($C291,Asignaturas!$C$5:$D$261,2,0)</f>
        <v>0</v>
      </c>
      <c r="E291" s="95"/>
      <c r="F291" s="23"/>
      <c r="G291" s="31"/>
      <c r="H291" s="31"/>
      <c r="I291" s="23"/>
      <c r="J291" s="36">
        <f>+Tabla2[[#This Row],[DÍA DE ENTREGA]]+8</f>
        <v>8</v>
      </c>
      <c r="K291" s="23"/>
      <c r="L291" s="99"/>
      <c r="M291" s="29"/>
      <c r="N291" s="29"/>
    </row>
    <row r="292" spans="1:14" ht="31.5" customHeight="1">
      <c r="A292" s="29"/>
      <c r="B292" s="29"/>
      <c r="C292" s="29" t="str">
        <f>A292&amp;B292</f>
        <v/>
      </c>
      <c r="D292" s="30">
        <f>VLOOKUP($C292,Asignaturas!$C$5:$D$261,2,0)</f>
        <v>0</v>
      </c>
      <c r="E292" s="56"/>
      <c r="F292" s="23"/>
      <c r="G292" s="31"/>
      <c r="H292" s="31"/>
      <c r="I292" s="23"/>
      <c r="J292" s="36">
        <f>+Tabla2[[#This Row],[DÍA DE ENTREGA]]+8</f>
        <v>8</v>
      </c>
      <c r="K292" s="23"/>
      <c r="L292" s="99"/>
      <c r="M292" s="29"/>
      <c r="N292" s="29"/>
    </row>
    <row r="293" spans="1:14" ht="31.5" customHeight="1">
      <c r="A293" s="29"/>
      <c r="B293" s="29"/>
      <c r="C293" s="29" t="str">
        <f>A293&amp;B293</f>
        <v/>
      </c>
      <c r="D293" s="30">
        <f>VLOOKUP($C293,Asignaturas!$C$5:$D$261,2,0)</f>
        <v>0</v>
      </c>
      <c r="E293" s="56"/>
      <c r="F293" s="23"/>
      <c r="G293" s="31"/>
      <c r="H293" s="31"/>
      <c r="I293" s="23"/>
      <c r="J293" s="36">
        <f>+Tabla2[[#This Row],[DÍA DE ENTREGA]]+8</f>
        <v>8</v>
      </c>
      <c r="K293" s="23"/>
      <c r="L293" s="99"/>
      <c r="M293" s="29"/>
      <c r="N293" s="29"/>
    </row>
    <row r="294" spans="1:14" ht="31.5" customHeight="1">
      <c r="A294" s="29"/>
      <c r="B294" s="29"/>
      <c r="C294" s="29" t="str">
        <f>A294&amp;B294</f>
        <v/>
      </c>
      <c r="D294" s="30">
        <f>VLOOKUP($C294,Asignaturas!$C$5:$D$261,2,0)</f>
        <v>0</v>
      </c>
      <c r="E294" s="95"/>
      <c r="F294" s="23"/>
      <c r="G294" s="31"/>
      <c r="H294" s="31"/>
      <c r="I294" s="23"/>
      <c r="J294" s="36">
        <f>+Tabla2[[#This Row],[DÍA DE ENTREGA]]+8</f>
        <v>8</v>
      </c>
      <c r="K294" s="23"/>
      <c r="L294" s="99"/>
      <c r="M294" s="29"/>
      <c r="N294" s="29"/>
    </row>
    <row r="295" spans="1:14" ht="31.5" customHeight="1">
      <c r="A295" s="29"/>
      <c r="B295" s="29"/>
      <c r="C295" s="29" t="str">
        <f>A295&amp;B295</f>
        <v/>
      </c>
      <c r="D295" s="30">
        <f>VLOOKUP($C295,Asignaturas!$C$5:$D$261,2,0)</f>
        <v>0</v>
      </c>
      <c r="E295" s="96"/>
      <c r="F295" s="61"/>
      <c r="G295" s="62"/>
      <c r="H295" s="62"/>
      <c r="I295" s="61"/>
      <c r="J295" s="63">
        <f>+Tabla2[[#This Row],[DÍA DE ENTREGA]]+8</f>
        <v>8</v>
      </c>
      <c r="K295" s="61"/>
      <c r="L295" s="100"/>
      <c r="M295" s="29"/>
      <c r="N295" s="29"/>
    </row>
    <row r="296" spans="1:14" ht="31.5" customHeight="1">
      <c r="A296" s="29"/>
      <c r="B296" s="29"/>
      <c r="C296" s="29" t="str">
        <f>A296&amp;B296</f>
        <v/>
      </c>
      <c r="D296" s="30">
        <f>VLOOKUP($C296,Asignaturas!$C$5:$D$261,2,0)</f>
        <v>0</v>
      </c>
      <c r="E296" s="95"/>
      <c r="F296" s="23"/>
      <c r="G296" s="31"/>
      <c r="H296" s="31"/>
      <c r="I296" s="23"/>
      <c r="J296" s="36">
        <f>+Tabla2[[#This Row],[DÍA DE ENTREGA]]+8</f>
        <v>8</v>
      </c>
      <c r="K296" s="23"/>
      <c r="L296" s="99"/>
      <c r="M296" s="29"/>
      <c r="N296" s="29"/>
    </row>
    <row r="297" spans="1:14" ht="31.5" customHeight="1">
      <c r="A297" s="29"/>
      <c r="B297" s="29"/>
      <c r="C297" s="29" t="str">
        <f>A297&amp;B297</f>
        <v/>
      </c>
      <c r="D297" s="30">
        <f>VLOOKUP($C297,Asignaturas!$C$5:$D$261,2,0)</f>
        <v>0</v>
      </c>
      <c r="E297" s="95"/>
      <c r="F297" s="23"/>
      <c r="G297" s="31"/>
      <c r="H297" s="31"/>
      <c r="I297" s="23"/>
      <c r="J297" s="36">
        <f>+Tabla2[[#This Row],[DÍA DE ENTREGA]]+8</f>
        <v>8</v>
      </c>
      <c r="K297" s="23"/>
      <c r="L297" s="99"/>
      <c r="M297" s="29"/>
      <c r="N297" s="29"/>
    </row>
    <row r="298" spans="1:14" ht="31.5" customHeight="1">
      <c r="A298" s="29"/>
      <c r="B298" s="29"/>
      <c r="C298" s="29" t="str">
        <f>A298&amp;B298</f>
        <v/>
      </c>
      <c r="D298" s="30">
        <f>VLOOKUP($C298,Asignaturas!$C$5:$D$261,2,0)</f>
        <v>0</v>
      </c>
      <c r="E298" s="95"/>
      <c r="F298" s="23"/>
      <c r="G298" s="31"/>
      <c r="H298" s="31"/>
      <c r="I298" s="23"/>
      <c r="J298" s="36">
        <f>+Tabla2[[#This Row],[DÍA DE ENTREGA]]+8</f>
        <v>8</v>
      </c>
      <c r="K298" s="23"/>
      <c r="L298" s="99"/>
      <c r="M298" s="29"/>
      <c r="N298" s="29"/>
    </row>
    <row r="299" spans="1:14" ht="31.5" customHeight="1">
      <c r="A299" s="29"/>
      <c r="B299" s="29"/>
      <c r="C299" s="29" t="str">
        <f>A299&amp;B299</f>
        <v/>
      </c>
      <c r="D299" s="30">
        <f>VLOOKUP($C299,Asignaturas!$C$5:$D$261,2,0)</f>
        <v>0</v>
      </c>
      <c r="E299" s="95"/>
      <c r="F299" s="23"/>
      <c r="G299" s="31"/>
      <c r="H299" s="31"/>
      <c r="I299" s="23"/>
      <c r="J299" s="36">
        <f>+Tabla2[[#This Row],[DÍA DE ENTREGA]]+8</f>
        <v>8</v>
      </c>
      <c r="K299" s="23"/>
      <c r="L299" s="99"/>
      <c r="M299" s="29"/>
      <c r="N299" s="29"/>
    </row>
    <row r="300" spans="1:14" ht="31.5" customHeight="1">
      <c r="A300" s="29"/>
      <c r="B300" s="29"/>
      <c r="C300" s="29" t="str">
        <f>A300&amp;B300</f>
        <v/>
      </c>
      <c r="D300" s="30">
        <f>VLOOKUP($C300,Asignaturas!$C$5:$D$261,2,0)</f>
        <v>0</v>
      </c>
      <c r="E300" s="95"/>
      <c r="F300" s="23"/>
      <c r="G300" s="31"/>
      <c r="H300" s="31"/>
      <c r="I300" s="23"/>
      <c r="J300" s="36">
        <f>+Tabla2[[#This Row],[DÍA DE ENTREGA]]+8</f>
        <v>8</v>
      </c>
      <c r="K300" s="23"/>
      <c r="L300" s="99"/>
      <c r="M300" s="29"/>
      <c r="N300" s="29"/>
    </row>
    <row r="301" spans="1:14" ht="31.5" customHeight="1">
      <c r="A301" s="29"/>
      <c r="B301" s="29"/>
      <c r="C301" s="29" t="str">
        <f>A301&amp;B301</f>
        <v/>
      </c>
      <c r="D301" s="30">
        <f>VLOOKUP($C301,Asignaturas!$C$5:$D$261,2,0)</f>
        <v>0</v>
      </c>
      <c r="E301" s="56"/>
      <c r="F301" s="23"/>
      <c r="G301" s="31"/>
      <c r="H301" s="31"/>
      <c r="I301" s="23"/>
      <c r="J301" s="36">
        <f>+Tabla2[[#This Row],[DÍA DE ENTREGA]]+8</f>
        <v>8</v>
      </c>
      <c r="K301" s="23"/>
      <c r="L301" s="99"/>
      <c r="M301" s="29"/>
      <c r="N301" s="29"/>
    </row>
    <row r="302" spans="1:14" ht="31.5" customHeight="1">
      <c r="A302" s="29"/>
      <c r="B302" s="29"/>
      <c r="C302" s="29" t="str">
        <f>A302&amp;B302</f>
        <v/>
      </c>
      <c r="D302" s="30">
        <f>VLOOKUP($C302,Asignaturas!$C$5:$D$261,2,0)</f>
        <v>0</v>
      </c>
      <c r="E302" s="56"/>
      <c r="F302" s="23"/>
      <c r="G302" s="31"/>
      <c r="H302" s="31"/>
      <c r="I302" s="23"/>
      <c r="J302" s="36">
        <f>+Tabla2[[#This Row],[DÍA DE ENTREGA]]+8</f>
        <v>8</v>
      </c>
      <c r="K302" s="23"/>
      <c r="L302" s="99"/>
      <c r="M302" s="29"/>
      <c r="N302" s="29"/>
    </row>
    <row r="303" spans="1:14" ht="31.5" customHeight="1">
      <c r="A303" s="29"/>
      <c r="B303" s="29"/>
      <c r="C303" s="29" t="str">
        <f>A303&amp;B303</f>
        <v/>
      </c>
      <c r="D303" s="30">
        <f>VLOOKUP($C303,Asignaturas!$C$5:$D$261,2,0)</f>
        <v>0</v>
      </c>
      <c r="E303" s="56"/>
      <c r="F303" s="23"/>
      <c r="G303" s="31"/>
      <c r="H303" s="31"/>
      <c r="I303" s="23"/>
      <c r="J303" s="36">
        <f>+Tabla2[[#This Row],[DÍA DE ENTREGA]]+8</f>
        <v>8</v>
      </c>
      <c r="K303" s="23"/>
      <c r="L303" s="99"/>
      <c r="M303" s="29"/>
      <c r="N303" s="29"/>
    </row>
    <row r="304" spans="1:14" ht="31.5" customHeight="1">
      <c r="A304" s="29"/>
      <c r="B304" s="29"/>
      <c r="C304" s="29" t="str">
        <f>A304&amp;B304</f>
        <v/>
      </c>
      <c r="D304" s="30">
        <f>VLOOKUP($C304,Asignaturas!$C$5:$D$261,2,0)</f>
        <v>0</v>
      </c>
      <c r="E304" s="56"/>
      <c r="F304" s="23"/>
      <c r="G304" s="31"/>
      <c r="H304" s="31"/>
      <c r="I304" s="23"/>
      <c r="J304" s="36">
        <f>+Tabla2[[#This Row],[DÍA DE ENTREGA]]+8</f>
        <v>8</v>
      </c>
      <c r="K304" s="23"/>
      <c r="L304" s="99"/>
      <c r="M304" s="29"/>
      <c r="N304" s="29"/>
    </row>
    <row r="305" spans="1:14" ht="31.5" customHeight="1">
      <c r="A305" s="29"/>
      <c r="B305" s="29"/>
      <c r="C305" s="29" t="str">
        <f>A305&amp;B305</f>
        <v/>
      </c>
      <c r="D305" s="30">
        <f>VLOOKUP($C305,Asignaturas!$C$5:$D$261,2,0)</f>
        <v>0</v>
      </c>
      <c r="E305" s="56"/>
      <c r="F305" s="23"/>
      <c r="G305" s="31"/>
      <c r="H305" s="31"/>
      <c r="I305" s="23"/>
      <c r="J305" s="36">
        <f>+Tabla2[[#This Row],[DÍA DE ENTREGA]]+8</f>
        <v>8</v>
      </c>
      <c r="K305" s="23"/>
      <c r="L305" s="99"/>
      <c r="M305" s="29"/>
      <c r="N305" s="29"/>
    </row>
    <row r="306" spans="1:14" ht="31.5" customHeight="1">
      <c r="A306" s="29"/>
      <c r="B306" s="29"/>
      <c r="C306" s="29" t="str">
        <f>A306&amp;B306</f>
        <v/>
      </c>
      <c r="D306" s="30">
        <f>VLOOKUP($C306,Asignaturas!$C$5:$D$261,2,0)</f>
        <v>0</v>
      </c>
      <c r="E306" s="56"/>
      <c r="F306" s="23"/>
      <c r="G306" s="31"/>
      <c r="H306" s="31"/>
      <c r="I306" s="23"/>
      <c r="J306" s="36">
        <f>+Tabla2[[#This Row],[DÍA DE ENTREGA]]+8</f>
        <v>8</v>
      </c>
      <c r="K306" s="23"/>
      <c r="L306" s="99"/>
      <c r="M306" s="29"/>
      <c r="N306" s="29"/>
    </row>
    <row r="307" spans="1:14" ht="31.5" customHeight="1">
      <c r="A307" s="29"/>
      <c r="B307" s="29"/>
      <c r="C307" s="29" t="str">
        <f>A307&amp;B307</f>
        <v/>
      </c>
      <c r="D307" s="30">
        <f>VLOOKUP($C307,Asignaturas!$C$5:$D$261,2,0)</f>
        <v>0</v>
      </c>
      <c r="E307" s="56"/>
      <c r="F307" s="23"/>
      <c r="G307" s="31"/>
      <c r="H307" s="31"/>
      <c r="I307" s="23"/>
      <c r="J307" s="36">
        <f>+Tabla2[[#This Row],[DÍA DE ENTREGA]]+8</f>
        <v>8</v>
      </c>
      <c r="K307" s="23"/>
      <c r="L307" s="99"/>
      <c r="M307" s="29"/>
      <c r="N307" s="29"/>
    </row>
    <row r="308" spans="1:14" ht="31.5" customHeight="1">
      <c r="A308" s="29"/>
      <c r="B308" s="29"/>
      <c r="C308" s="29" t="str">
        <f>A308&amp;B308</f>
        <v/>
      </c>
      <c r="D308" s="30">
        <f>VLOOKUP($C308,Asignaturas!$C$5:$D$261,2,0)</f>
        <v>0</v>
      </c>
      <c r="E308" s="56"/>
      <c r="F308" s="23"/>
      <c r="G308" s="31"/>
      <c r="H308" s="31"/>
      <c r="I308" s="23"/>
      <c r="J308" s="36">
        <f>+Tabla2[[#This Row],[DÍA DE ENTREGA]]+8</f>
        <v>8</v>
      </c>
      <c r="K308" s="23"/>
      <c r="L308" s="99"/>
      <c r="M308" s="29"/>
      <c r="N308" s="29"/>
    </row>
    <row r="309" spans="1:14" ht="31.5" customHeight="1">
      <c r="A309" s="29"/>
      <c r="B309" s="29"/>
      <c r="C309" s="29" t="str">
        <f>A309&amp;B309</f>
        <v/>
      </c>
      <c r="D309" s="30">
        <f>VLOOKUP($C309,Asignaturas!$C$5:$D$261,2,0)</f>
        <v>0</v>
      </c>
      <c r="E309" s="56"/>
      <c r="F309" s="23"/>
      <c r="G309" s="31"/>
      <c r="H309" s="31"/>
      <c r="I309" s="23"/>
      <c r="J309" s="36">
        <f>+Tabla2[[#This Row],[DÍA DE ENTREGA]]+8</f>
        <v>8</v>
      </c>
      <c r="K309" s="23"/>
      <c r="L309" s="99"/>
      <c r="M309" s="29"/>
      <c r="N309" s="29"/>
    </row>
    <row r="310" spans="1:14" ht="31.5" customHeight="1">
      <c r="A310" s="29"/>
      <c r="B310" s="29"/>
      <c r="C310" s="29" t="str">
        <f>A310&amp;B310</f>
        <v/>
      </c>
      <c r="D310" s="30">
        <f>VLOOKUP($C310,Asignaturas!$C$5:$D$261,2,0)</f>
        <v>0</v>
      </c>
      <c r="E310" s="56"/>
      <c r="F310" s="23"/>
      <c r="G310" s="31"/>
      <c r="H310" s="31"/>
      <c r="I310" s="23"/>
      <c r="J310" s="36">
        <f>+Tabla2[[#This Row],[DÍA DE ENTREGA]]+8</f>
        <v>8</v>
      </c>
      <c r="K310" s="23"/>
      <c r="L310" s="99"/>
      <c r="M310" s="29"/>
      <c r="N310" s="29"/>
    </row>
    <row r="311" spans="1:14" ht="31.5" customHeight="1">
      <c r="A311" s="29"/>
      <c r="B311" s="29"/>
      <c r="C311" s="29" t="str">
        <f>A311&amp;B311</f>
        <v/>
      </c>
      <c r="D311" s="30">
        <f>VLOOKUP($C311,Asignaturas!$C$5:$D$261,2,0)</f>
        <v>0</v>
      </c>
      <c r="E311" s="56"/>
      <c r="F311" s="23"/>
      <c r="G311" s="31"/>
      <c r="H311" s="31"/>
      <c r="I311" s="23"/>
      <c r="J311" s="36">
        <f>+Tabla2[[#This Row],[DÍA DE ENTREGA]]+8</f>
        <v>8</v>
      </c>
      <c r="K311" s="23"/>
      <c r="L311" s="99"/>
      <c r="M311" s="29"/>
      <c r="N311" s="29"/>
    </row>
    <row r="312" spans="1:14" ht="31.5" customHeight="1">
      <c r="A312" s="29"/>
      <c r="B312" s="29"/>
      <c r="C312" s="29" t="str">
        <f>A312&amp;B312</f>
        <v/>
      </c>
      <c r="D312" s="30">
        <f>VLOOKUP($C312,Asignaturas!$C$5:$D$261,2,0)</f>
        <v>0</v>
      </c>
      <c r="E312" s="56"/>
      <c r="F312" s="23"/>
      <c r="G312" s="31"/>
      <c r="H312" s="31"/>
      <c r="I312" s="23"/>
      <c r="J312" s="36">
        <f>+Tabla2[[#This Row],[DÍA DE ENTREGA]]+8</f>
        <v>8</v>
      </c>
      <c r="K312" s="23"/>
      <c r="L312" s="99"/>
      <c r="M312" s="29"/>
      <c r="N312" s="29"/>
    </row>
    <row r="313" spans="1:14" ht="31.5" customHeight="1">
      <c r="A313" s="29"/>
      <c r="B313" s="29"/>
      <c r="C313" s="29" t="str">
        <f>A313&amp;B313</f>
        <v/>
      </c>
      <c r="D313" s="30">
        <f>VLOOKUP($C313,Asignaturas!$C$5:$D$261,2,0)</f>
        <v>0</v>
      </c>
      <c r="E313" s="56"/>
      <c r="F313" s="23"/>
      <c r="G313" s="31"/>
      <c r="H313" s="31"/>
      <c r="I313" s="23"/>
      <c r="J313" s="36">
        <f>+Tabla2[[#This Row],[DÍA DE ENTREGA]]+8</f>
        <v>8</v>
      </c>
      <c r="K313" s="23"/>
      <c r="L313" s="99"/>
      <c r="M313" s="29"/>
      <c r="N313" s="29"/>
    </row>
    <row r="314" spans="1:14" ht="31.5" customHeight="1">
      <c r="A314" s="29"/>
      <c r="B314" s="29"/>
      <c r="C314" s="29" t="str">
        <f>A314&amp;B314</f>
        <v/>
      </c>
      <c r="D314" s="30">
        <f>VLOOKUP($C314,Asignaturas!$C$5:$D$261,2,0)</f>
        <v>0</v>
      </c>
      <c r="E314" s="95"/>
      <c r="F314" s="23"/>
      <c r="G314" s="31"/>
      <c r="H314" s="31"/>
      <c r="I314" s="23"/>
      <c r="J314" s="36">
        <f>+Tabla2[[#This Row],[DÍA DE ENTREGA]]+8</f>
        <v>8</v>
      </c>
      <c r="K314" s="23"/>
      <c r="L314" s="99"/>
      <c r="M314" s="29"/>
      <c r="N314" s="29"/>
    </row>
    <row r="315" spans="1:14" ht="31.5" customHeight="1">
      <c r="A315" s="29"/>
      <c r="B315" s="29"/>
      <c r="C315" s="29" t="str">
        <f>A315&amp;B315</f>
        <v/>
      </c>
      <c r="D315" s="30">
        <f>VLOOKUP($C315,Asignaturas!$C$5:$D$261,2,0)</f>
        <v>0</v>
      </c>
      <c r="E315" s="56"/>
      <c r="F315" s="23"/>
      <c r="G315" s="31"/>
      <c r="H315" s="31"/>
      <c r="I315" s="23"/>
      <c r="J315" s="36">
        <f>+Tabla2[[#This Row],[DÍA DE ENTREGA]]+8</f>
        <v>8</v>
      </c>
      <c r="K315" s="23"/>
      <c r="L315" s="99"/>
      <c r="M315" s="29"/>
      <c r="N315" s="29"/>
    </row>
    <row r="316" spans="1:14" ht="31.5" customHeight="1">
      <c r="A316" s="29"/>
      <c r="B316" s="29"/>
      <c r="C316" s="29" t="str">
        <f>A316&amp;B316</f>
        <v/>
      </c>
      <c r="D316" s="30">
        <f>VLOOKUP($C316,Asignaturas!$C$5:$D$261,2,0)</f>
        <v>0</v>
      </c>
      <c r="E316" s="95"/>
      <c r="F316" s="23"/>
      <c r="G316" s="31"/>
      <c r="H316" s="31"/>
      <c r="I316" s="23"/>
      <c r="J316" s="36">
        <f>+Tabla2[[#This Row],[DÍA DE ENTREGA]]+8</f>
        <v>8</v>
      </c>
      <c r="K316" s="23"/>
      <c r="L316" s="99"/>
      <c r="M316" s="29"/>
      <c r="N316" s="29"/>
    </row>
    <row r="317" spans="1:14" ht="31.5" customHeight="1">
      <c r="A317" s="29"/>
      <c r="B317" s="29"/>
      <c r="C317" s="29" t="str">
        <f>A317&amp;B317</f>
        <v/>
      </c>
      <c r="D317" s="30">
        <f>VLOOKUP($C317,Asignaturas!$C$5:$D$261,2,0)</f>
        <v>0</v>
      </c>
      <c r="E317" s="95"/>
      <c r="F317" s="23"/>
      <c r="G317" s="31"/>
      <c r="H317" s="31"/>
      <c r="I317" s="23"/>
      <c r="J317" s="36">
        <f>+Tabla2[[#This Row],[DÍA DE ENTREGA]]+8</f>
        <v>8</v>
      </c>
      <c r="K317" s="23"/>
      <c r="L317" s="99"/>
      <c r="M317" s="29"/>
      <c r="N317" s="29"/>
    </row>
    <row r="318" spans="1:14" ht="31.5" customHeight="1">
      <c r="A318" s="29"/>
      <c r="B318" s="29"/>
      <c r="C318" s="29" t="str">
        <f>A318&amp;B318</f>
        <v/>
      </c>
      <c r="D318" s="30">
        <f>VLOOKUP($C318,Asignaturas!$C$5:$D$261,2,0)</f>
        <v>0</v>
      </c>
      <c r="E318" s="56"/>
      <c r="F318" s="23"/>
      <c r="G318" s="31"/>
      <c r="H318" s="31"/>
      <c r="I318" s="23"/>
      <c r="J318" s="36">
        <f>+Tabla2[[#This Row],[DÍA DE ENTREGA]]+8</f>
        <v>8</v>
      </c>
      <c r="K318" s="23"/>
      <c r="L318" s="99"/>
      <c r="M318" s="29"/>
      <c r="N318" s="29"/>
    </row>
    <row r="319" spans="1:14" ht="31.5" customHeight="1">
      <c r="A319" s="29"/>
      <c r="B319" s="29"/>
      <c r="C319" s="29" t="str">
        <f>A319&amp;B319</f>
        <v/>
      </c>
      <c r="D319" s="30">
        <f>VLOOKUP($C319,Asignaturas!$C$5:$D$261,2,0)</f>
        <v>0</v>
      </c>
      <c r="E319" s="56"/>
      <c r="F319" s="23"/>
      <c r="G319" s="31"/>
      <c r="H319" s="31"/>
      <c r="I319" s="23"/>
      <c r="J319" s="36">
        <f>+Tabla2[[#This Row],[DÍA DE ENTREGA]]+8</f>
        <v>8</v>
      </c>
      <c r="K319" s="23"/>
      <c r="L319" s="99"/>
      <c r="M319" s="29"/>
      <c r="N319" s="29"/>
    </row>
    <row r="320" spans="1:14" ht="31.5" customHeight="1">
      <c r="A320" s="29"/>
      <c r="B320" s="29"/>
      <c r="C320" s="29" t="str">
        <f>A320&amp;B320</f>
        <v/>
      </c>
      <c r="D320" s="30">
        <f>VLOOKUP($C320,Asignaturas!$C$5:$D$261,2,0)</f>
        <v>0</v>
      </c>
      <c r="E320" s="95"/>
      <c r="F320" s="23"/>
      <c r="G320" s="31"/>
      <c r="H320" s="31"/>
      <c r="I320" s="23"/>
      <c r="J320" s="36">
        <f>+Tabla2[[#This Row],[DÍA DE ENTREGA]]+8</f>
        <v>8</v>
      </c>
      <c r="K320" s="23"/>
      <c r="L320" s="99"/>
      <c r="M320" s="29"/>
      <c r="N320" s="29"/>
    </row>
    <row r="321" spans="1:14" ht="31.5" customHeight="1">
      <c r="A321" s="29"/>
      <c r="B321" s="29"/>
      <c r="C321" s="29" t="str">
        <f>A321&amp;B321</f>
        <v/>
      </c>
      <c r="D321" s="30">
        <f>VLOOKUP($C321,Asignaturas!$C$5:$D$261,2,0)</f>
        <v>0</v>
      </c>
      <c r="E321" s="56"/>
      <c r="F321" s="23"/>
      <c r="G321" s="31"/>
      <c r="H321" s="31"/>
      <c r="I321" s="23"/>
      <c r="J321" s="36">
        <f>+Tabla2[[#This Row],[DÍA DE ENTREGA]]+8</f>
        <v>8</v>
      </c>
      <c r="K321" s="23"/>
      <c r="L321" s="99"/>
      <c r="M321" s="29"/>
      <c r="N321" s="29"/>
    </row>
    <row r="322" spans="1:14" ht="31.5" customHeight="1">
      <c r="A322" s="29"/>
      <c r="B322" s="29"/>
      <c r="C322" s="29" t="str">
        <f>A322&amp;B322</f>
        <v/>
      </c>
      <c r="D322" s="30">
        <f>VLOOKUP($C322,Asignaturas!$C$5:$D$261,2,0)</f>
        <v>0</v>
      </c>
      <c r="E322" s="56"/>
      <c r="F322" s="23"/>
      <c r="G322" s="31"/>
      <c r="H322" s="31"/>
      <c r="I322" s="23"/>
      <c r="J322" s="36">
        <f>+Tabla2[[#This Row],[DÍA DE ENTREGA]]+8</f>
        <v>8</v>
      </c>
      <c r="K322" s="23"/>
      <c r="L322" s="99"/>
      <c r="M322" s="29"/>
      <c r="N322" s="29"/>
    </row>
    <row r="323" spans="1:14" ht="31.5" customHeight="1">
      <c r="A323" s="29"/>
      <c r="B323" s="29"/>
      <c r="C323" s="29" t="str">
        <f>A323&amp;B323</f>
        <v/>
      </c>
      <c r="D323" s="30">
        <f>VLOOKUP($C323,Asignaturas!$C$5:$D$261,2,0)</f>
        <v>0</v>
      </c>
      <c r="E323" s="95"/>
      <c r="F323" s="23"/>
      <c r="G323" s="31"/>
      <c r="H323" s="31"/>
      <c r="I323" s="23"/>
      <c r="J323" s="36">
        <f>+Tabla2[[#This Row],[DÍA DE ENTREGA]]+8</f>
        <v>8</v>
      </c>
      <c r="K323" s="23"/>
      <c r="L323" s="99"/>
      <c r="M323" s="29"/>
      <c r="N323" s="29"/>
    </row>
    <row r="324" spans="1:14" ht="31.5" customHeight="1">
      <c r="A324" s="29"/>
      <c r="B324" s="29"/>
      <c r="C324" s="29" t="str">
        <f>A324&amp;B324</f>
        <v/>
      </c>
      <c r="D324" s="30">
        <f>VLOOKUP($C324,Asignaturas!$C$5:$D$261,2,0)</f>
        <v>0</v>
      </c>
      <c r="E324" s="56"/>
      <c r="F324" s="23"/>
      <c r="G324" s="31"/>
      <c r="H324" s="31"/>
      <c r="I324" s="23"/>
      <c r="J324" s="36">
        <f>+Tabla2[[#This Row],[DÍA DE ENTREGA]]+8</f>
        <v>8</v>
      </c>
      <c r="K324" s="23"/>
      <c r="L324" s="99"/>
      <c r="M324" s="29"/>
      <c r="N324" s="29"/>
    </row>
    <row r="325" spans="1:14" ht="31.5" customHeight="1">
      <c r="A325" s="29"/>
      <c r="B325" s="29"/>
      <c r="C325" s="29" t="str">
        <f>A325&amp;B325</f>
        <v/>
      </c>
      <c r="D325" s="30">
        <f>VLOOKUP($C325,Asignaturas!$C$5:$D$261,2,0)</f>
        <v>0</v>
      </c>
      <c r="E325" s="95"/>
      <c r="F325" s="23"/>
      <c r="G325" s="31"/>
      <c r="H325" s="31"/>
      <c r="I325" s="23"/>
      <c r="J325" s="36">
        <f>+Tabla2[[#This Row],[DÍA DE ENTREGA]]+8</f>
        <v>8</v>
      </c>
      <c r="K325" s="23"/>
      <c r="L325" s="99"/>
      <c r="M325" s="29"/>
      <c r="N325" s="29"/>
    </row>
    <row r="326" spans="1:14" ht="31.5" customHeight="1">
      <c r="A326" s="29"/>
      <c r="B326" s="29"/>
      <c r="C326" s="29" t="str">
        <f>A326&amp;B326</f>
        <v/>
      </c>
      <c r="D326" s="30">
        <f>VLOOKUP($C326,Asignaturas!$C$5:$D$261,2,0)</f>
        <v>0</v>
      </c>
      <c r="E326" s="95"/>
      <c r="F326" s="23"/>
      <c r="G326" s="31"/>
      <c r="H326" s="31"/>
      <c r="I326" s="23"/>
      <c r="J326" s="36">
        <f>+Tabla2[[#This Row],[DÍA DE ENTREGA]]+8</f>
        <v>8</v>
      </c>
      <c r="K326" s="23"/>
      <c r="L326" s="99"/>
      <c r="M326" s="29"/>
      <c r="N326" s="29"/>
    </row>
    <row r="327" spans="1:14" ht="31.5" customHeight="1">
      <c r="A327" s="29"/>
      <c r="B327" s="29"/>
      <c r="C327" s="29" t="str">
        <f>A327&amp;B327</f>
        <v/>
      </c>
      <c r="D327" s="30">
        <f>VLOOKUP($C327,Asignaturas!$C$5:$D$261,2,0)</f>
        <v>0</v>
      </c>
      <c r="E327" s="98"/>
      <c r="F327" s="23"/>
      <c r="G327" s="31"/>
      <c r="H327" s="31"/>
      <c r="I327" s="23"/>
      <c r="J327" s="36">
        <f>+Tabla2[[#This Row],[DÍA DE ENTREGA]]+8</f>
        <v>8</v>
      </c>
      <c r="K327" s="23"/>
      <c r="L327" s="99"/>
      <c r="M327" s="41"/>
      <c r="N327" s="29"/>
    </row>
    <row r="328" spans="1:14" ht="31.5" customHeight="1">
      <c r="A328" s="29"/>
      <c r="B328" s="29"/>
      <c r="C328" s="29" t="str">
        <f>A328&amp;B328</f>
        <v/>
      </c>
      <c r="D328" s="30">
        <f>VLOOKUP($C328,Asignaturas!$C$5:$D$261,2,0)</f>
        <v>0</v>
      </c>
      <c r="E328" s="95"/>
      <c r="F328" s="23"/>
      <c r="G328" s="82"/>
      <c r="H328" s="82"/>
      <c r="I328" s="74"/>
      <c r="J328" s="75">
        <f>+Tabla2[[#This Row],[DÍA DE ENTREGA]]+8</f>
        <v>8</v>
      </c>
      <c r="K328" s="74"/>
      <c r="L328" s="101"/>
      <c r="M328" s="29"/>
      <c r="N328" s="29"/>
    </row>
    <row r="329" spans="1:14" ht="31.5" customHeight="1">
      <c r="A329" s="29"/>
      <c r="B329" s="29"/>
      <c r="C329" s="29" t="str">
        <f>A329&amp;B329</f>
        <v/>
      </c>
      <c r="D329" s="30">
        <f>VLOOKUP($C329,Asignaturas!$C$5:$D$261,2,0)</f>
        <v>0</v>
      </c>
      <c r="E329" s="56"/>
      <c r="F329" s="23"/>
      <c r="G329" s="31"/>
      <c r="H329" s="31"/>
      <c r="I329" s="23"/>
      <c r="J329" s="36">
        <f>+Tabla2[[#This Row],[DÍA DE ENTREGA]]+8</f>
        <v>8</v>
      </c>
      <c r="K329" s="23"/>
      <c r="L329" s="99"/>
      <c r="M329" s="29"/>
      <c r="N329" s="29"/>
    </row>
    <row r="330" spans="1:14" ht="31.5" customHeight="1">
      <c r="A330" s="29"/>
      <c r="B330" s="29"/>
      <c r="C330" s="29" t="str">
        <f>A330&amp;B330</f>
        <v/>
      </c>
      <c r="D330" s="30">
        <f>VLOOKUP($C330,Asignaturas!$C$5:$D$261,2,0)</f>
        <v>0</v>
      </c>
      <c r="E330" s="56"/>
      <c r="F330" s="23"/>
      <c r="G330" s="31"/>
      <c r="H330" s="31"/>
      <c r="I330" s="23"/>
      <c r="J330" s="36">
        <f>+Tabla2[[#This Row],[DÍA DE ENTREGA]]+8</f>
        <v>8</v>
      </c>
      <c r="K330" s="23"/>
      <c r="L330" s="99"/>
      <c r="M330" s="29"/>
      <c r="N330" s="29"/>
    </row>
    <row r="331" spans="1:14" ht="31.5" customHeight="1">
      <c r="A331" s="29"/>
      <c r="B331" s="29"/>
      <c r="C331" s="29" t="str">
        <f>A331&amp;B331</f>
        <v/>
      </c>
      <c r="D331" s="30">
        <f>VLOOKUP($C331,Asignaturas!$C$5:$D$261,2,0)</f>
        <v>0</v>
      </c>
      <c r="E331" s="95"/>
      <c r="F331" s="23"/>
      <c r="G331" s="31"/>
      <c r="H331" s="31"/>
      <c r="I331" s="23"/>
      <c r="J331" s="36">
        <f>+Tabla2[[#This Row],[DÍA DE ENTREGA]]+8</f>
        <v>8</v>
      </c>
      <c r="K331" s="23"/>
      <c r="L331" s="99"/>
      <c r="M331" s="29"/>
      <c r="N331" s="29"/>
    </row>
    <row r="332" spans="1:14" ht="31.5" customHeight="1">
      <c r="A332" s="29"/>
      <c r="B332" s="29"/>
      <c r="C332" s="29" t="str">
        <f>A332&amp;B332</f>
        <v/>
      </c>
      <c r="D332" s="30">
        <f>VLOOKUP($C332,Asignaturas!$C$5:$D$261,2,0)</f>
        <v>0</v>
      </c>
      <c r="E332" s="95"/>
      <c r="F332" s="23"/>
      <c r="G332" s="82"/>
      <c r="H332" s="82"/>
      <c r="I332" s="74"/>
      <c r="J332" s="75">
        <f>+Tabla2[[#This Row],[DÍA DE ENTREGA]]+8</f>
        <v>8</v>
      </c>
      <c r="K332" s="74"/>
      <c r="L332" s="101"/>
      <c r="M332" s="29"/>
      <c r="N332" s="29"/>
    </row>
    <row r="333" spans="1:14" ht="31.5" customHeight="1">
      <c r="A333" s="29"/>
      <c r="B333" s="29"/>
      <c r="C333" s="29" t="str">
        <f>A333&amp;B333</f>
        <v/>
      </c>
      <c r="D333" s="30">
        <f>VLOOKUP($C333,Asignaturas!$C$5:$D$261,2,0)</f>
        <v>0</v>
      </c>
      <c r="E333" s="95"/>
      <c r="F333" s="23"/>
      <c r="G333" s="31"/>
      <c r="H333" s="31"/>
      <c r="I333" s="23"/>
      <c r="J333" s="36">
        <f>+Tabla2[[#This Row],[DÍA DE ENTREGA]]+8</f>
        <v>8</v>
      </c>
      <c r="K333" s="23"/>
      <c r="L333" s="99"/>
      <c r="M333" s="29"/>
      <c r="N333" s="29"/>
    </row>
    <row r="334" spans="1:14" ht="31.5" customHeight="1">
      <c r="A334" s="29"/>
      <c r="B334" s="29"/>
      <c r="C334" s="29" t="str">
        <f>A334&amp;B334</f>
        <v/>
      </c>
      <c r="D334" s="30">
        <f>VLOOKUP($C334,Asignaturas!$C$5:$D$261,2,0)</f>
        <v>0</v>
      </c>
      <c r="E334" s="95"/>
      <c r="F334" s="23"/>
      <c r="G334" s="31"/>
      <c r="H334" s="31"/>
      <c r="I334" s="23"/>
      <c r="J334" s="36">
        <f>+Tabla2[[#This Row],[DÍA DE ENTREGA]]+8</f>
        <v>8</v>
      </c>
      <c r="K334" s="23"/>
      <c r="L334" s="99"/>
      <c r="M334" s="29"/>
      <c r="N334" s="29"/>
    </row>
    <row r="335" spans="1:14" ht="31.5" customHeight="1">
      <c r="A335" s="29"/>
      <c r="B335" s="29"/>
      <c r="C335" s="29" t="str">
        <f>A335&amp;B335</f>
        <v/>
      </c>
      <c r="D335" s="30">
        <f>VLOOKUP($C335,Asignaturas!$C$5:$D$261,2,0)</f>
        <v>0</v>
      </c>
      <c r="E335" s="96"/>
      <c r="F335" s="23"/>
      <c r="G335" s="31"/>
      <c r="H335" s="31"/>
      <c r="I335" s="23"/>
      <c r="J335" s="36">
        <f>+Tabla2[[#This Row],[DÍA DE ENTREGA]]+8</f>
        <v>8</v>
      </c>
      <c r="K335" s="23"/>
      <c r="L335" s="99"/>
      <c r="M335" s="29"/>
      <c r="N335" s="29"/>
    </row>
    <row r="336" spans="1:14" ht="31.5" customHeight="1">
      <c r="A336" s="29"/>
      <c r="B336" s="29"/>
      <c r="C336" s="29" t="str">
        <f>A336&amp;B336</f>
        <v/>
      </c>
      <c r="D336" s="30">
        <f>VLOOKUP($C336,Asignaturas!$C$5:$D$261,2,0)</f>
        <v>0</v>
      </c>
      <c r="E336" s="56"/>
      <c r="F336" s="23"/>
      <c r="G336" s="31"/>
      <c r="H336" s="31"/>
      <c r="I336" s="23"/>
      <c r="J336" s="36">
        <f>+Tabla2[[#This Row],[DÍA DE ENTREGA]]+8</f>
        <v>8</v>
      </c>
      <c r="K336" s="23"/>
      <c r="L336" s="99"/>
      <c r="M336" s="29"/>
      <c r="N336" s="29"/>
    </row>
    <row r="337" spans="1:14" ht="31.5" customHeight="1">
      <c r="A337" s="29"/>
      <c r="B337" s="29"/>
      <c r="C337" s="29" t="str">
        <f>A337&amp;B337</f>
        <v/>
      </c>
      <c r="D337" s="30">
        <f>VLOOKUP($C337,Asignaturas!$C$5:$D$261,2,0)</f>
        <v>0</v>
      </c>
      <c r="E337" s="56"/>
      <c r="F337" s="23"/>
      <c r="G337" s="31"/>
      <c r="H337" s="31"/>
      <c r="I337" s="23"/>
      <c r="J337" s="36">
        <f>+Tabla2[[#This Row],[DÍA DE ENTREGA]]+8</f>
        <v>8</v>
      </c>
      <c r="K337" s="23"/>
      <c r="L337" s="99"/>
      <c r="M337" s="29"/>
      <c r="N337" s="29"/>
    </row>
    <row r="338" spans="1:14" ht="31.5" customHeight="1">
      <c r="A338" s="29"/>
      <c r="B338" s="29"/>
      <c r="C338" s="29" t="str">
        <f>A338&amp;B338</f>
        <v/>
      </c>
      <c r="D338" s="30">
        <f>VLOOKUP($C338,Asignaturas!$C$5:$D$261,2,0)</f>
        <v>0</v>
      </c>
      <c r="E338" s="56"/>
      <c r="F338" s="23"/>
      <c r="G338" s="31"/>
      <c r="H338" s="31"/>
      <c r="I338" s="23"/>
      <c r="J338" s="36">
        <f>+Tabla2[[#This Row],[DÍA DE ENTREGA]]+8</f>
        <v>8</v>
      </c>
      <c r="K338" s="23"/>
      <c r="L338" s="99"/>
      <c r="M338" s="29"/>
      <c r="N338" s="29"/>
    </row>
    <row r="339" spans="1:14" ht="31.5" customHeight="1">
      <c r="A339" s="29"/>
      <c r="B339" s="29"/>
      <c r="C339" s="29" t="str">
        <f>A339&amp;B339</f>
        <v/>
      </c>
      <c r="D339" s="30">
        <f>VLOOKUP($C339,Asignaturas!$C$5:$D$261,2,0)</f>
        <v>0</v>
      </c>
      <c r="E339" s="56"/>
      <c r="F339" s="23"/>
      <c r="G339" s="31"/>
      <c r="H339" s="31"/>
      <c r="I339" s="23"/>
      <c r="J339" s="36">
        <f>+Tabla2[[#This Row],[DÍA DE ENTREGA]]+8</f>
        <v>8</v>
      </c>
      <c r="K339" s="23"/>
      <c r="L339" s="99"/>
      <c r="M339" s="29"/>
      <c r="N339" s="29"/>
    </row>
    <row r="340" spans="1:14" ht="31.5" customHeight="1">
      <c r="A340" s="29"/>
      <c r="B340" s="29"/>
      <c r="C340" s="29" t="str">
        <f>A340&amp;B340</f>
        <v/>
      </c>
      <c r="D340" s="30">
        <f>VLOOKUP($C340,Asignaturas!$C$5:$D$261,2,0)</f>
        <v>0</v>
      </c>
      <c r="E340" s="56"/>
      <c r="F340" s="23"/>
      <c r="G340" s="31"/>
      <c r="H340" s="31"/>
      <c r="I340" s="23"/>
      <c r="J340" s="36">
        <f>+Tabla2[[#This Row],[DÍA DE ENTREGA]]+8</f>
        <v>8</v>
      </c>
      <c r="K340" s="23"/>
      <c r="L340" s="99"/>
      <c r="M340" s="29"/>
      <c r="N340" s="29"/>
    </row>
    <row r="341" spans="1:14" ht="31.5" customHeight="1">
      <c r="A341" s="59"/>
      <c r="B341" s="59"/>
      <c r="C341" s="59" t="str">
        <f>A341&amp;B341</f>
        <v/>
      </c>
      <c r="D341" s="60">
        <f>VLOOKUP($C341,Asignaturas!$C$5:$D$261,2,0)</f>
        <v>0</v>
      </c>
      <c r="E341" s="98"/>
      <c r="F341" s="23"/>
      <c r="G341" s="31"/>
      <c r="H341" s="31"/>
      <c r="I341" s="23"/>
      <c r="J341" s="36">
        <f>+Tabla2[[#This Row],[DÍA DE ENTREGA]]+8</f>
        <v>8</v>
      </c>
      <c r="K341" s="23"/>
      <c r="L341" s="99"/>
      <c r="M341" s="59"/>
      <c r="N341" s="29"/>
    </row>
    <row r="342" spans="1:14" ht="31.5" customHeight="1">
      <c r="A342" s="29"/>
      <c r="B342" s="29"/>
      <c r="C342" s="29" t="str">
        <f>A342&amp;B342</f>
        <v/>
      </c>
      <c r="D342" s="30">
        <f>VLOOKUP($C342,Asignaturas!$C$5:$D$261,2,0)</f>
        <v>0</v>
      </c>
      <c r="E342" s="95"/>
      <c r="F342" s="23"/>
      <c r="G342" s="31"/>
      <c r="H342" s="31"/>
      <c r="I342" s="23"/>
      <c r="J342" s="36">
        <f>+Tabla2[[#This Row],[DÍA DE ENTREGA]]+8</f>
        <v>8</v>
      </c>
      <c r="K342" s="23"/>
      <c r="L342" s="99"/>
      <c r="M342" s="29"/>
      <c r="N342" s="29"/>
    </row>
    <row r="343" spans="1:14" ht="31.5" customHeight="1">
      <c r="A343" s="29"/>
      <c r="B343" s="29"/>
      <c r="C343" s="29" t="str">
        <f>A343&amp;B343</f>
        <v/>
      </c>
      <c r="D343" s="30">
        <f>VLOOKUP($C343,Asignaturas!$C$5:$D$261,2,0)</f>
        <v>0</v>
      </c>
      <c r="E343" s="95"/>
      <c r="F343" s="23"/>
      <c r="G343" s="31"/>
      <c r="H343" s="31"/>
      <c r="I343" s="23"/>
      <c r="J343" s="36">
        <f>+Tabla2[[#This Row],[DÍA DE ENTREGA]]+8</f>
        <v>8</v>
      </c>
      <c r="K343" s="23"/>
      <c r="L343" s="99"/>
      <c r="M343" s="29"/>
      <c r="N343" s="29"/>
    </row>
    <row r="344" spans="1:14" ht="31.5" customHeight="1">
      <c r="A344" s="29"/>
      <c r="B344" s="29"/>
      <c r="C344" s="29" t="str">
        <f>A344&amp;B344</f>
        <v/>
      </c>
      <c r="D344" s="30">
        <f>VLOOKUP($C344,Asignaturas!$C$5:$D$261,2,0)</f>
        <v>0</v>
      </c>
      <c r="E344" s="95"/>
      <c r="F344" s="23"/>
      <c r="G344" s="31"/>
      <c r="H344" s="31"/>
      <c r="I344" s="23"/>
      <c r="J344" s="36">
        <f>+Tabla2[[#This Row],[DÍA DE ENTREGA]]+8</f>
        <v>8</v>
      </c>
      <c r="K344" s="23"/>
      <c r="L344" s="99"/>
      <c r="M344" s="29"/>
      <c r="N344" s="29"/>
    </row>
    <row r="345" spans="1:14" ht="31.5" customHeight="1">
      <c r="A345" s="29"/>
      <c r="B345" s="29"/>
      <c r="C345" s="29" t="str">
        <f>A345&amp;B345</f>
        <v/>
      </c>
      <c r="D345" s="30">
        <f>VLOOKUP($C345,Asignaturas!$C$5:$D$261,2,0)</f>
        <v>0</v>
      </c>
      <c r="E345" s="95"/>
      <c r="F345" s="23"/>
      <c r="G345" s="31"/>
      <c r="H345" s="31"/>
      <c r="I345" s="23"/>
      <c r="J345" s="36">
        <f>+Tabla2[[#This Row],[DÍA DE ENTREGA]]+8</f>
        <v>8</v>
      </c>
      <c r="K345" s="23"/>
      <c r="L345" s="99"/>
      <c r="M345" s="29"/>
      <c r="N345" s="29"/>
    </row>
    <row r="346" spans="1:14" ht="31.5" customHeight="1">
      <c r="A346" s="29"/>
      <c r="B346" s="29"/>
      <c r="C346" s="29" t="str">
        <f>A346&amp;B346</f>
        <v/>
      </c>
      <c r="D346" s="30">
        <f>VLOOKUP($C346,Asignaturas!$C$5:$D$261,2,0)</f>
        <v>0</v>
      </c>
      <c r="E346" s="95"/>
      <c r="F346" s="23"/>
      <c r="G346" s="31"/>
      <c r="H346" s="31"/>
      <c r="I346" s="23"/>
      <c r="J346" s="36">
        <f>+Tabla2[[#This Row],[DÍA DE ENTREGA]]+8</f>
        <v>8</v>
      </c>
      <c r="K346" s="23"/>
      <c r="L346" s="99"/>
      <c r="M346" s="29"/>
      <c r="N346" s="29"/>
    </row>
    <row r="347" spans="1:14" ht="31.5" customHeight="1">
      <c r="A347" s="29"/>
      <c r="B347" s="29"/>
      <c r="C347" s="29" t="str">
        <f>A347&amp;B347</f>
        <v/>
      </c>
      <c r="D347" s="30">
        <f>VLOOKUP($C347,Asignaturas!$C$5:$D$261,2,0)</f>
        <v>0</v>
      </c>
      <c r="E347" s="95"/>
      <c r="F347" s="23"/>
      <c r="G347" s="31"/>
      <c r="H347" s="31"/>
      <c r="I347" s="23"/>
      <c r="J347" s="36">
        <f>+Tabla2[[#This Row],[DÍA DE ENTREGA]]+8</f>
        <v>8</v>
      </c>
      <c r="K347" s="23"/>
      <c r="L347" s="99"/>
      <c r="M347" s="29"/>
      <c r="N347" s="29"/>
    </row>
    <row r="348" spans="1:14" ht="31.5" customHeight="1">
      <c r="A348" s="29"/>
      <c r="B348" s="29"/>
      <c r="C348" s="29" t="str">
        <f>A348&amp;B348</f>
        <v/>
      </c>
      <c r="D348" s="30">
        <f>VLOOKUP($C348,Asignaturas!$C$5:$D$261,2,0)</f>
        <v>0</v>
      </c>
      <c r="E348" s="95"/>
      <c r="F348" s="23"/>
      <c r="G348" s="31"/>
      <c r="H348" s="31"/>
      <c r="I348" s="23"/>
      <c r="J348" s="36">
        <f>+Tabla2[[#This Row],[DÍA DE ENTREGA]]+8</f>
        <v>8</v>
      </c>
      <c r="K348" s="23"/>
      <c r="L348" s="99"/>
      <c r="M348" s="29"/>
      <c r="N348" s="29"/>
    </row>
    <row r="349" spans="1:14" ht="31.5" customHeight="1">
      <c r="A349" s="29"/>
      <c r="B349" s="29"/>
      <c r="C349" s="29" t="str">
        <f>A349&amp;B349</f>
        <v/>
      </c>
      <c r="D349" s="30">
        <f>VLOOKUP($C349,Asignaturas!$C$5:$D$261,2,0)</f>
        <v>0</v>
      </c>
      <c r="E349" s="95"/>
      <c r="F349" s="23"/>
      <c r="G349" s="31"/>
      <c r="H349" s="31"/>
      <c r="I349" s="23"/>
      <c r="J349" s="36">
        <f>+Tabla2[[#This Row],[DÍA DE ENTREGA]]+8</f>
        <v>8</v>
      </c>
      <c r="K349" s="23"/>
      <c r="L349" s="99"/>
      <c r="M349" s="29"/>
      <c r="N349" s="29"/>
    </row>
    <row r="350" spans="1:14" ht="31.5" customHeight="1">
      <c r="A350" s="29"/>
      <c r="B350" s="29"/>
      <c r="C350" s="29" t="str">
        <f>A350&amp;B350</f>
        <v/>
      </c>
      <c r="D350" s="30">
        <f>VLOOKUP($C350,Asignaturas!$C$5:$D$261,2,0)</f>
        <v>0</v>
      </c>
      <c r="E350" s="95"/>
      <c r="F350" s="23"/>
      <c r="G350" s="31"/>
      <c r="H350" s="31"/>
      <c r="I350" s="23"/>
      <c r="J350" s="36">
        <f>+Tabla2[[#This Row],[DÍA DE ENTREGA]]+8</f>
        <v>8</v>
      </c>
      <c r="K350" s="23"/>
      <c r="L350" s="99"/>
      <c r="M350" s="29"/>
      <c r="N350" s="29"/>
    </row>
    <row r="351" spans="1:14" ht="31.5" customHeight="1">
      <c r="A351" s="59"/>
      <c r="B351" s="59"/>
      <c r="C351" s="59" t="str">
        <f>A351&amp;B351</f>
        <v/>
      </c>
      <c r="D351" s="60">
        <f>VLOOKUP($C351,Asignaturas!$C$5:$D$261,2,0)</f>
        <v>0</v>
      </c>
      <c r="E351" s="98"/>
      <c r="F351" s="61"/>
      <c r="G351" s="62"/>
      <c r="H351" s="62"/>
      <c r="I351" s="61"/>
      <c r="J351" s="63">
        <f>+Tabla2[[#This Row],[DÍA DE ENTREGA]]+8</f>
        <v>8</v>
      </c>
      <c r="K351" s="61"/>
      <c r="L351" s="99"/>
      <c r="M351" s="29"/>
      <c r="N351" s="29"/>
    </row>
    <row r="352" spans="1:14" ht="31.5" customHeight="1">
      <c r="A352" s="29"/>
      <c r="B352" s="29"/>
      <c r="C352" s="29" t="str">
        <f>A352&amp;B352</f>
        <v/>
      </c>
      <c r="D352" s="30">
        <f>VLOOKUP($C352,Asignaturas!$C$5:$D$261,2,0)</f>
        <v>0</v>
      </c>
      <c r="E352" s="95"/>
      <c r="F352" s="23"/>
      <c r="G352" s="62"/>
      <c r="H352" s="62"/>
      <c r="I352" s="61"/>
      <c r="J352" s="63">
        <f>+Tabla2[[#This Row],[DÍA DE ENTREGA]]+8</f>
        <v>8</v>
      </c>
      <c r="K352" s="61"/>
      <c r="L352" s="99"/>
      <c r="M352" s="29"/>
      <c r="N352" s="29"/>
    </row>
    <row r="353" spans="1:14" ht="31.5" customHeight="1">
      <c r="A353" s="29"/>
      <c r="B353" s="29"/>
      <c r="C353" s="29" t="str">
        <f>A353&amp;B353</f>
        <v/>
      </c>
      <c r="D353" s="30">
        <f>VLOOKUP($C353,Asignaturas!$C$5:$D$261,2,0)</f>
        <v>0</v>
      </c>
      <c r="E353" s="95"/>
      <c r="F353" s="23"/>
      <c r="G353" s="62"/>
      <c r="H353" s="62"/>
      <c r="I353" s="61"/>
      <c r="J353" s="63">
        <f>+Tabla2[[#This Row],[DÍA DE ENTREGA]]+8</f>
        <v>8</v>
      </c>
      <c r="K353" s="61"/>
      <c r="L353" s="99"/>
      <c r="M353" s="29"/>
      <c r="N353" s="29"/>
    </row>
    <row r="354" spans="1:14" ht="31.5" customHeight="1">
      <c r="A354" s="29"/>
      <c r="B354" s="29"/>
      <c r="C354" s="29" t="str">
        <f>A354&amp;B354</f>
        <v/>
      </c>
      <c r="D354" s="30">
        <f>VLOOKUP($C354,Asignaturas!$C$5:$D$261,2,0)</f>
        <v>0</v>
      </c>
      <c r="E354" s="95"/>
      <c r="F354" s="23"/>
      <c r="G354" s="62"/>
      <c r="H354" s="62"/>
      <c r="I354" s="61"/>
      <c r="J354" s="63">
        <f>+Tabla2[[#This Row],[DÍA DE ENTREGA]]+8</f>
        <v>8</v>
      </c>
      <c r="K354" s="61"/>
      <c r="L354" s="99"/>
      <c r="M354" s="29"/>
      <c r="N354" s="29"/>
    </row>
    <row r="355" spans="1:14" ht="31.5" customHeight="1">
      <c r="A355" s="29"/>
      <c r="B355" s="29"/>
      <c r="C355" s="29" t="str">
        <f>A355&amp;B355</f>
        <v/>
      </c>
      <c r="D355" s="30">
        <f>VLOOKUP($C355,Asignaturas!$C$5:$D$261,2,0)</f>
        <v>0</v>
      </c>
      <c r="E355" s="95"/>
      <c r="F355" s="23"/>
      <c r="G355" s="62"/>
      <c r="H355" s="62"/>
      <c r="I355" s="61"/>
      <c r="J355" s="63">
        <f>+Tabla2[[#This Row],[DÍA DE ENTREGA]]+8</f>
        <v>8</v>
      </c>
      <c r="K355" s="61"/>
      <c r="L355" s="99"/>
      <c r="M355" s="29"/>
      <c r="N355" s="29"/>
    </row>
    <row r="356" spans="1:14" ht="31.5" customHeight="1">
      <c r="A356" s="29"/>
      <c r="B356" s="29"/>
      <c r="C356" s="29" t="str">
        <f>A356&amp;B356</f>
        <v/>
      </c>
      <c r="D356" s="30">
        <f>VLOOKUP($C356,Asignaturas!$C$5:$D$261,2,0)</f>
        <v>0</v>
      </c>
      <c r="E356" s="95"/>
      <c r="F356" s="23"/>
      <c r="G356" s="31"/>
      <c r="H356" s="31"/>
      <c r="I356" s="23"/>
      <c r="J356" s="36">
        <f>+Tabla2[[#This Row],[DÍA DE ENTREGA]]+8</f>
        <v>8</v>
      </c>
      <c r="K356" s="23"/>
      <c r="L356" s="99"/>
      <c r="M356" s="29"/>
      <c r="N356" s="29"/>
    </row>
    <row r="357" spans="1:14" ht="31.5" customHeight="1">
      <c r="A357" s="29"/>
      <c r="B357" s="29"/>
      <c r="C357" s="29" t="str">
        <f>A357&amp;B357</f>
        <v/>
      </c>
      <c r="D357" s="30">
        <f>VLOOKUP($C357,Asignaturas!$C$5:$D$261,2,0)</f>
        <v>0</v>
      </c>
      <c r="E357" s="95"/>
      <c r="F357" s="23"/>
      <c r="G357" s="31"/>
      <c r="H357" s="31"/>
      <c r="I357" s="23"/>
      <c r="J357" s="36">
        <f>+Tabla2[[#This Row],[DÍA DE ENTREGA]]+8</f>
        <v>8</v>
      </c>
      <c r="K357" s="23"/>
      <c r="L357" s="99"/>
      <c r="M357" s="29"/>
      <c r="N357" s="29"/>
    </row>
    <row r="358" spans="1:14" ht="31.5" customHeight="1">
      <c r="A358" s="29"/>
      <c r="B358" s="29"/>
      <c r="C358" s="29" t="str">
        <f>A358&amp;B358</f>
        <v/>
      </c>
      <c r="D358" s="30">
        <f>VLOOKUP($C358,Asignaturas!$C$5:$D$261,2,0)</f>
        <v>0</v>
      </c>
      <c r="E358" s="95"/>
      <c r="F358" s="23"/>
      <c r="G358" s="31"/>
      <c r="H358" s="31"/>
      <c r="I358" s="23"/>
      <c r="J358" s="36">
        <f>+Tabla2[[#This Row],[DÍA DE ENTREGA]]+8</f>
        <v>8</v>
      </c>
      <c r="K358" s="23"/>
      <c r="L358" s="99"/>
      <c r="M358" s="29"/>
      <c r="N358" s="29"/>
    </row>
    <row r="359" spans="1:14" ht="31.5" customHeight="1">
      <c r="A359" s="29"/>
      <c r="B359" s="29"/>
      <c r="C359" s="29" t="str">
        <f>A359&amp;B359</f>
        <v/>
      </c>
      <c r="D359" s="30">
        <f>VLOOKUP($C359,Asignaturas!$C$5:$D$261,2,0)</f>
        <v>0</v>
      </c>
      <c r="E359" s="95"/>
      <c r="F359" s="23"/>
      <c r="G359" s="31"/>
      <c r="H359" s="31"/>
      <c r="I359" s="23"/>
      <c r="J359" s="36">
        <f>+Tabla2[[#This Row],[DÍA DE ENTREGA]]+8</f>
        <v>8</v>
      </c>
      <c r="K359" s="23"/>
      <c r="L359" s="99"/>
      <c r="M359" s="41"/>
      <c r="N359" s="29"/>
    </row>
    <row r="360" spans="1:14" ht="31.5" customHeight="1">
      <c r="A360" s="29"/>
      <c r="B360" s="29"/>
      <c r="C360" s="29" t="str">
        <f>A360&amp;B360</f>
        <v/>
      </c>
      <c r="D360" s="30">
        <f>VLOOKUP($C360,Asignaturas!$C$5:$D$261,2,0)</f>
        <v>0</v>
      </c>
      <c r="E360" s="98"/>
      <c r="F360" s="23"/>
      <c r="G360" s="31"/>
      <c r="H360" s="31"/>
      <c r="I360" s="23"/>
      <c r="J360" s="36">
        <f>+Tabla2[[#This Row],[DÍA DE ENTREGA]]+8</f>
        <v>8</v>
      </c>
      <c r="K360" s="23"/>
      <c r="L360" s="99"/>
      <c r="M360" s="29"/>
      <c r="N360" s="29"/>
    </row>
    <row r="361" spans="1:14" ht="31.5" customHeight="1">
      <c r="A361" s="29"/>
      <c r="B361" s="29"/>
      <c r="C361" s="29" t="str">
        <f>A361&amp;B361</f>
        <v/>
      </c>
      <c r="D361" s="30">
        <f>VLOOKUP($C361,Asignaturas!$C$5:$D$261,2,0)</f>
        <v>0</v>
      </c>
      <c r="E361" s="95"/>
      <c r="F361" s="23"/>
      <c r="G361" s="31"/>
      <c r="H361" s="31"/>
      <c r="I361" s="23"/>
      <c r="J361" s="36">
        <f>+Tabla2[[#This Row],[DÍA DE ENTREGA]]+8</f>
        <v>8</v>
      </c>
      <c r="K361" s="61"/>
      <c r="L361" s="99"/>
      <c r="M361" s="41"/>
      <c r="N361" s="29"/>
    </row>
    <row r="362" spans="1:14" ht="31.5" customHeight="1">
      <c r="A362" s="29"/>
      <c r="B362" s="29"/>
      <c r="C362" s="29" t="str">
        <f>A362&amp;B362</f>
        <v/>
      </c>
      <c r="D362" s="30">
        <f>VLOOKUP($C362,Asignaturas!$C$5:$D$261,2,0)</f>
        <v>0</v>
      </c>
      <c r="E362" s="95"/>
      <c r="F362" s="23"/>
      <c r="G362" s="31"/>
      <c r="H362" s="31"/>
      <c r="I362" s="23"/>
      <c r="J362" s="36">
        <f>+Tabla2[[#This Row],[DÍA DE ENTREGA]]+8</f>
        <v>8</v>
      </c>
      <c r="K362" s="61"/>
      <c r="L362" s="99"/>
      <c r="M362" s="64"/>
      <c r="N362" s="29"/>
    </row>
    <row r="363" spans="1:14" ht="31.5" customHeight="1">
      <c r="A363" s="29"/>
      <c r="B363" s="29"/>
      <c r="C363" s="29" t="str">
        <f>A363&amp;B363</f>
        <v/>
      </c>
      <c r="D363" s="30">
        <f>VLOOKUP($C363,Asignaturas!$C$5:$D$261,2,0)</f>
        <v>0</v>
      </c>
      <c r="E363" s="95"/>
      <c r="F363" s="61"/>
      <c r="G363" s="62"/>
      <c r="H363" s="62"/>
      <c r="I363" s="61"/>
      <c r="J363" s="63">
        <f>+Tabla2[[#This Row],[DÍA DE ENTREGA]]+8</f>
        <v>8</v>
      </c>
      <c r="K363" s="61"/>
      <c r="L363" s="99"/>
      <c r="M363" s="83"/>
      <c r="N363" s="29"/>
    </row>
    <row r="364" spans="1:14" ht="31.5" customHeight="1">
      <c r="A364" s="29"/>
      <c r="B364" s="29"/>
      <c r="C364" s="29" t="str">
        <f>A364&amp;B364</f>
        <v/>
      </c>
      <c r="D364" s="30">
        <f>VLOOKUP($C364,Asignaturas!$C$5:$D$261,2,0)</f>
        <v>0</v>
      </c>
      <c r="E364" s="95"/>
      <c r="F364" s="61"/>
      <c r="G364" s="62"/>
      <c r="H364" s="62"/>
      <c r="I364" s="61"/>
      <c r="J364" s="63">
        <f>+Tabla2[[#This Row],[DÍA DE ENTREGA]]+8</f>
        <v>8</v>
      </c>
      <c r="K364" s="61"/>
      <c r="L364" s="99"/>
      <c r="M364" s="41"/>
      <c r="N364" s="29"/>
    </row>
    <row r="365" spans="1:14" ht="31.5" customHeight="1">
      <c r="A365" s="29"/>
      <c r="B365" s="29"/>
      <c r="C365" s="29" t="str">
        <f>A365&amp;B365</f>
        <v/>
      </c>
      <c r="D365" s="30">
        <f>VLOOKUP($C365,Asignaturas!$C$5:$D$261,2,0)</f>
        <v>0</v>
      </c>
      <c r="E365" s="95"/>
      <c r="F365" s="61"/>
      <c r="G365" s="62"/>
      <c r="H365" s="62"/>
      <c r="I365" s="61"/>
      <c r="J365" s="63">
        <f>+Tabla2[[#This Row],[DÍA DE ENTREGA]]+8</f>
        <v>8</v>
      </c>
      <c r="K365" s="61"/>
      <c r="L365" s="99"/>
      <c r="M365" s="29"/>
      <c r="N365" s="29"/>
    </row>
    <row r="366" spans="1:14" ht="31.5" customHeight="1">
      <c r="A366" s="29"/>
      <c r="B366" s="29"/>
      <c r="C366" s="29" t="str">
        <f>A366&amp;B366</f>
        <v/>
      </c>
      <c r="D366" s="30">
        <f>VLOOKUP($C366,Asignaturas!$C$5:$D$261,2,0)</f>
        <v>0</v>
      </c>
      <c r="E366" s="95"/>
      <c r="F366" s="61"/>
      <c r="G366" s="62"/>
      <c r="H366" s="62"/>
      <c r="I366" s="61"/>
      <c r="J366" s="63">
        <f>+Tabla2[[#This Row],[DÍA DE ENTREGA]]+8</f>
        <v>8</v>
      </c>
      <c r="K366" s="23"/>
      <c r="L366" s="99"/>
      <c r="M366" s="29"/>
      <c r="N366" s="29"/>
    </row>
    <row r="367" spans="1:14" ht="31.5" customHeight="1">
      <c r="A367" s="29"/>
      <c r="B367" s="29"/>
      <c r="C367" s="29" t="str">
        <f>A367&amp;B367</f>
        <v/>
      </c>
      <c r="D367" s="30">
        <f>VLOOKUP($C367,Asignaturas!$C$5:$D$261,2,0)</f>
        <v>0</v>
      </c>
      <c r="E367" s="95"/>
      <c r="F367" s="61"/>
      <c r="G367" s="62"/>
      <c r="H367" s="62"/>
      <c r="I367" s="61"/>
      <c r="J367" s="63">
        <f>+Tabla2[[#This Row],[DÍA DE ENTREGA]]+8</f>
        <v>8</v>
      </c>
      <c r="K367" s="23"/>
      <c r="L367" s="99"/>
      <c r="M367" s="29"/>
      <c r="N367" s="29"/>
    </row>
    <row r="368" spans="1:14" ht="31.5" customHeight="1">
      <c r="A368" s="29"/>
      <c r="B368" s="29"/>
      <c r="C368" s="29" t="str">
        <f>A368&amp;B368</f>
        <v/>
      </c>
      <c r="D368" s="30">
        <f>VLOOKUP($C368,Asignaturas!$C$5:$D$261,2,0)</f>
        <v>0</v>
      </c>
      <c r="E368" s="95"/>
      <c r="F368" s="61"/>
      <c r="G368" s="62"/>
      <c r="H368" s="62"/>
      <c r="I368" s="61"/>
      <c r="J368" s="63">
        <f>+Tabla2[[#This Row],[DÍA DE ENTREGA]]+8</f>
        <v>8</v>
      </c>
      <c r="K368" s="23"/>
      <c r="L368" s="99"/>
      <c r="M368" s="29"/>
      <c r="N368" s="29"/>
    </row>
    <row r="369" spans="1:14" ht="31.5" customHeight="1">
      <c r="A369" s="29"/>
      <c r="B369" s="29"/>
      <c r="C369" s="29" t="str">
        <f>A369&amp;B369</f>
        <v/>
      </c>
      <c r="D369" s="30">
        <f>VLOOKUP($C369,Asignaturas!$C$5:$D$261,2,0)</f>
        <v>0</v>
      </c>
      <c r="E369" s="95"/>
      <c r="F369" s="61"/>
      <c r="G369" s="62"/>
      <c r="H369" s="62"/>
      <c r="I369" s="61"/>
      <c r="J369" s="63">
        <f>+Tabla2[[#This Row],[DÍA DE ENTREGA]]+8</f>
        <v>8</v>
      </c>
      <c r="K369" s="23"/>
      <c r="L369" s="99"/>
      <c r="M369" s="29"/>
      <c r="N369" s="29"/>
    </row>
    <row r="370" spans="1:14" ht="31.5" customHeight="1">
      <c r="A370" s="29"/>
      <c r="B370" s="29"/>
      <c r="C370" s="29" t="str">
        <f>A370&amp;B370</f>
        <v/>
      </c>
      <c r="D370" s="30">
        <f>VLOOKUP($C370,Asignaturas!$C$5:$D$261,2,0)</f>
        <v>0</v>
      </c>
      <c r="E370" s="95"/>
      <c r="F370" s="61"/>
      <c r="G370" s="62"/>
      <c r="H370" s="62"/>
      <c r="I370" s="61"/>
      <c r="J370" s="63">
        <f>+Tabla2[[#This Row],[DÍA DE ENTREGA]]+8</f>
        <v>8</v>
      </c>
      <c r="K370" s="23"/>
      <c r="L370" s="99"/>
      <c r="M370" s="29"/>
      <c r="N370" s="29"/>
    </row>
    <row r="371" spans="1:14" ht="31.5" customHeight="1">
      <c r="A371" s="29"/>
      <c r="B371" s="29"/>
      <c r="C371" s="29" t="str">
        <f>A371&amp;B371</f>
        <v/>
      </c>
      <c r="D371" s="30">
        <f>VLOOKUP($C371,Asignaturas!$C$5:$D$261,2,0)</f>
        <v>0</v>
      </c>
      <c r="E371" s="95"/>
      <c r="F371" s="61"/>
      <c r="G371" s="62"/>
      <c r="H371" s="62"/>
      <c r="I371" s="61"/>
      <c r="J371" s="63">
        <f>+Tabla2[[#This Row],[DÍA DE ENTREGA]]+8</f>
        <v>8</v>
      </c>
      <c r="K371" s="23"/>
      <c r="L371" s="99"/>
      <c r="M371" s="29"/>
      <c r="N371" s="29"/>
    </row>
    <row r="372" spans="1:14" ht="31.5" customHeight="1">
      <c r="A372" s="29"/>
      <c r="B372" s="29"/>
      <c r="C372" s="29" t="str">
        <f>A372&amp;B372</f>
        <v/>
      </c>
      <c r="D372" s="30">
        <f>VLOOKUP($C372,Asignaturas!$C$5:$D$261,2,0)</f>
        <v>0</v>
      </c>
      <c r="E372" s="95"/>
      <c r="F372" s="61"/>
      <c r="G372" s="62"/>
      <c r="H372" s="62"/>
      <c r="I372" s="61"/>
      <c r="J372" s="63">
        <f>+Tabla2[[#This Row],[DÍA DE ENTREGA]]+8</f>
        <v>8</v>
      </c>
      <c r="K372" s="23"/>
      <c r="L372" s="99"/>
      <c r="M372" s="29"/>
      <c r="N372" s="29"/>
    </row>
    <row r="373" spans="1:14" ht="31.5" customHeight="1">
      <c r="A373" s="29"/>
      <c r="B373" s="29"/>
      <c r="C373" s="29" t="str">
        <f>A373&amp;B373</f>
        <v/>
      </c>
      <c r="D373" s="30">
        <f>VLOOKUP($C373,Asignaturas!$C$5:$D$261,2,0)</f>
        <v>0</v>
      </c>
      <c r="E373" s="95"/>
      <c r="F373" s="61"/>
      <c r="G373" s="62"/>
      <c r="H373" s="62"/>
      <c r="I373" s="61"/>
      <c r="J373" s="63">
        <f>+Tabla2[[#This Row],[DÍA DE ENTREGA]]+8</f>
        <v>8</v>
      </c>
      <c r="K373" s="23"/>
      <c r="L373" s="99"/>
      <c r="M373" s="41"/>
      <c r="N373" s="29"/>
    </row>
    <row r="374" spans="1:14" ht="31.5" customHeight="1">
      <c r="A374" s="29"/>
      <c r="B374" s="29"/>
      <c r="C374" s="29" t="str">
        <f>A374&amp;B374</f>
        <v/>
      </c>
      <c r="D374" s="30">
        <f>VLOOKUP($C374,Asignaturas!$C$5:$D$261,2,0)</f>
        <v>0</v>
      </c>
      <c r="E374" s="95"/>
      <c r="F374" s="61"/>
      <c r="G374" s="62"/>
      <c r="H374" s="62"/>
      <c r="I374" s="61"/>
      <c r="J374" s="63">
        <f>+Tabla2[[#This Row],[DÍA DE ENTREGA]]+8</f>
        <v>8</v>
      </c>
      <c r="K374" s="23"/>
      <c r="L374" s="99"/>
      <c r="M374" s="29"/>
      <c r="N374" s="29"/>
    </row>
    <row r="375" spans="1:14" ht="31.5" customHeight="1">
      <c r="A375" s="29"/>
      <c r="B375" s="29"/>
      <c r="C375" s="29" t="str">
        <f>A375&amp;B375</f>
        <v/>
      </c>
      <c r="D375" s="30">
        <f>VLOOKUP($C375,Asignaturas!$C$5:$D$261,2,0)</f>
        <v>0</v>
      </c>
      <c r="E375" s="95"/>
      <c r="F375" s="61"/>
      <c r="G375" s="62"/>
      <c r="H375" s="62"/>
      <c r="I375" s="61"/>
      <c r="J375" s="63">
        <f>+Tabla2[[#This Row],[DÍA DE ENTREGA]]+8</f>
        <v>8</v>
      </c>
      <c r="K375" s="23"/>
      <c r="L375" s="99"/>
      <c r="M375" s="29"/>
      <c r="N375" s="29"/>
    </row>
    <row r="376" spans="1:14" ht="31.5" customHeight="1">
      <c r="A376" s="29"/>
      <c r="B376" s="29"/>
      <c r="C376" s="29" t="str">
        <f>A376&amp;B376</f>
        <v/>
      </c>
      <c r="D376" s="30">
        <f>VLOOKUP($C376,Asignaturas!$C$5:$D$261,2,0)</f>
        <v>0</v>
      </c>
      <c r="E376" s="95"/>
      <c r="F376" s="23"/>
      <c r="G376" s="31"/>
      <c r="H376" s="31"/>
      <c r="I376" s="23"/>
      <c r="J376" s="36">
        <f>+Tabla2[[#This Row],[DÍA DE ENTREGA]]+8</f>
        <v>8</v>
      </c>
      <c r="K376" s="23"/>
      <c r="L376" s="99"/>
      <c r="M376" s="29"/>
      <c r="N376" s="29"/>
    </row>
    <row r="377" spans="1:14" ht="31.5" customHeight="1">
      <c r="A377" s="29"/>
      <c r="B377" s="29"/>
      <c r="C377" s="29" t="str">
        <f>A377&amp;B377</f>
        <v/>
      </c>
      <c r="D377" s="30">
        <f>VLOOKUP($C377,Asignaturas!$C$5:$D$261,2,0)</f>
        <v>0</v>
      </c>
      <c r="E377" s="95"/>
      <c r="F377" s="23"/>
      <c r="G377" s="31"/>
      <c r="H377" s="31"/>
      <c r="I377" s="23"/>
      <c r="J377" s="36">
        <f>+Tabla2[[#This Row],[DÍA DE ENTREGA]]+8</f>
        <v>8</v>
      </c>
      <c r="K377" s="23"/>
      <c r="L377" s="99"/>
      <c r="M377" s="29"/>
      <c r="N377" s="29"/>
    </row>
    <row r="378" spans="1:14" ht="31.5" customHeight="1">
      <c r="A378" s="29"/>
      <c r="B378" s="29"/>
      <c r="C378" s="29" t="str">
        <f>A378&amp;B378</f>
        <v/>
      </c>
      <c r="D378" s="30">
        <f>VLOOKUP($C378,Asignaturas!$C$5:$D$261,2,0)</f>
        <v>0</v>
      </c>
      <c r="E378" s="95"/>
      <c r="F378" s="23"/>
      <c r="G378" s="31"/>
      <c r="H378" s="31"/>
      <c r="I378" s="23"/>
      <c r="J378" s="36">
        <f>+Tabla2[[#This Row],[DÍA DE ENTREGA]]+8</f>
        <v>8</v>
      </c>
      <c r="K378" s="23"/>
      <c r="L378" s="99"/>
      <c r="M378" s="29"/>
      <c r="N378" s="29"/>
    </row>
    <row r="379" spans="1:14" ht="31.5" customHeight="1">
      <c r="A379" s="29"/>
      <c r="B379" s="29"/>
      <c r="C379" s="29" t="str">
        <f>A379&amp;B379</f>
        <v/>
      </c>
      <c r="D379" s="30">
        <f>VLOOKUP($C379,Asignaturas!$C$5:$D$261,2,0)</f>
        <v>0</v>
      </c>
      <c r="E379" s="98"/>
      <c r="F379" s="23"/>
      <c r="G379" s="31"/>
      <c r="H379" s="31"/>
      <c r="I379" s="23"/>
      <c r="J379" s="36">
        <f>+Tabla2[[#This Row],[DÍA DE ENTREGA]]+8</f>
        <v>8</v>
      </c>
      <c r="K379" s="23"/>
      <c r="L379" s="99"/>
      <c r="M379" s="29"/>
      <c r="N379" s="29"/>
    </row>
    <row r="380" spans="1:14" ht="31.5" customHeight="1">
      <c r="A380" s="29"/>
      <c r="B380" s="29"/>
      <c r="C380" s="29" t="str">
        <f>A380&amp;B380</f>
        <v/>
      </c>
      <c r="D380" s="30">
        <f>VLOOKUP($C380,Asignaturas!$C$5:$D$261,2,0)</f>
        <v>0</v>
      </c>
      <c r="E380" s="95"/>
      <c r="F380" s="23"/>
      <c r="G380" s="31"/>
      <c r="H380" s="31"/>
      <c r="I380" s="23"/>
      <c r="J380" s="36">
        <f>+Tabla2[[#This Row],[DÍA DE ENTREGA]]+8</f>
        <v>8</v>
      </c>
      <c r="K380" s="23"/>
      <c r="L380" s="99"/>
      <c r="M380" s="29"/>
      <c r="N380" s="29"/>
    </row>
    <row r="381" spans="1:14" ht="31.5" customHeight="1">
      <c r="A381" s="29"/>
      <c r="B381" s="29"/>
      <c r="C381" s="29" t="str">
        <f>A381&amp;B381</f>
        <v/>
      </c>
      <c r="D381" s="30">
        <f>VLOOKUP($C381,Asignaturas!$C$5:$D$261,2,0)</f>
        <v>0</v>
      </c>
      <c r="E381" s="95"/>
      <c r="F381" s="23"/>
      <c r="G381" s="31"/>
      <c r="H381" s="31"/>
      <c r="I381" s="23"/>
      <c r="J381" s="36">
        <f>+Tabla2[[#This Row],[DÍA DE ENTREGA]]+8</f>
        <v>8</v>
      </c>
      <c r="K381" s="23"/>
      <c r="L381" s="99"/>
      <c r="M381" s="29"/>
      <c r="N381" s="29"/>
    </row>
    <row r="382" spans="1:14" ht="31.5" customHeight="1">
      <c r="A382" s="29"/>
      <c r="B382" s="29"/>
      <c r="C382" s="29" t="str">
        <f>A382&amp;B382</f>
        <v/>
      </c>
      <c r="D382" s="30">
        <f>VLOOKUP($C382,Asignaturas!$C$5:$D$261,2,0)</f>
        <v>0</v>
      </c>
      <c r="E382" s="95"/>
      <c r="F382" s="23"/>
      <c r="G382" s="31"/>
      <c r="H382" s="31"/>
      <c r="I382" s="23"/>
      <c r="J382" s="36">
        <f>+Tabla2[[#This Row],[DÍA DE ENTREGA]]+8</f>
        <v>8</v>
      </c>
      <c r="K382" s="23"/>
      <c r="L382" s="99"/>
      <c r="M382" s="29"/>
      <c r="N382" s="29"/>
    </row>
    <row r="383" spans="1:14" ht="31.5" customHeight="1">
      <c r="A383" s="29"/>
      <c r="B383" s="29"/>
      <c r="C383" s="29" t="str">
        <f>A383&amp;B383</f>
        <v/>
      </c>
      <c r="D383" s="30">
        <f>VLOOKUP($C383,Asignaturas!$C$5:$D$261,2,0)</f>
        <v>0</v>
      </c>
      <c r="E383" s="95"/>
      <c r="F383" s="23"/>
      <c r="G383" s="31"/>
      <c r="H383" s="31"/>
      <c r="I383" s="23"/>
      <c r="J383" s="36">
        <f>+Tabla2[[#This Row],[DÍA DE ENTREGA]]+8</f>
        <v>8</v>
      </c>
      <c r="K383" s="23"/>
      <c r="L383" s="99"/>
      <c r="M383" s="29"/>
      <c r="N383" s="29"/>
    </row>
    <row r="384" spans="1:14" ht="31.5" customHeight="1">
      <c r="A384" s="29"/>
      <c r="B384" s="29"/>
      <c r="C384" s="29" t="str">
        <f>A384&amp;B384</f>
        <v/>
      </c>
      <c r="D384" s="30">
        <f>VLOOKUP($C384,Asignaturas!$C$5:$D$261,2,0)</f>
        <v>0</v>
      </c>
      <c r="E384" s="95"/>
      <c r="F384" s="23"/>
      <c r="G384" s="31"/>
      <c r="H384" s="31"/>
      <c r="I384" s="23"/>
      <c r="J384" s="36">
        <f>+Tabla2[[#This Row],[DÍA DE ENTREGA]]+8</f>
        <v>8</v>
      </c>
      <c r="K384" s="23"/>
      <c r="L384" s="99"/>
      <c r="M384" s="29"/>
      <c r="N384" s="29"/>
    </row>
    <row r="385" spans="1:14" ht="31.5" customHeight="1">
      <c r="A385" s="29"/>
      <c r="B385" s="29"/>
      <c r="C385" s="29" t="str">
        <f>A385&amp;B385</f>
        <v/>
      </c>
      <c r="D385" s="30">
        <f>VLOOKUP($C385,Asignaturas!$C$5:$D$261,2,0)</f>
        <v>0</v>
      </c>
      <c r="E385" s="95"/>
      <c r="F385" s="23"/>
      <c r="G385" s="31"/>
      <c r="H385" s="31"/>
      <c r="I385" s="23"/>
      <c r="J385" s="36">
        <f>+Tabla2[[#This Row],[DÍA DE ENTREGA]]+8</f>
        <v>8</v>
      </c>
      <c r="K385" s="23"/>
      <c r="L385" s="99"/>
      <c r="M385" s="29"/>
      <c r="N385" s="29"/>
    </row>
    <row r="386" spans="1:14" ht="31.5" customHeight="1">
      <c r="A386" s="29"/>
      <c r="B386" s="29"/>
      <c r="C386" s="29" t="str">
        <f>A386&amp;B386</f>
        <v/>
      </c>
      <c r="D386" s="30">
        <f>VLOOKUP($C386,Asignaturas!$C$5:$D$261,2,0)</f>
        <v>0</v>
      </c>
      <c r="E386" s="95"/>
      <c r="F386" s="23"/>
      <c r="G386" s="31"/>
      <c r="H386" s="31"/>
      <c r="I386" s="23"/>
      <c r="J386" s="36">
        <f>+Tabla2[[#This Row],[DÍA DE ENTREGA]]+8</f>
        <v>8</v>
      </c>
      <c r="K386" s="23"/>
      <c r="L386" s="99"/>
      <c r="M386" s="29"/>
      <c r="N386" s="29"/>
    </row>
    <row r="387" spans="1:14" ht="31.5" customHeight="1">
      <c r="A387" s="29"/>
      <c r="B387" s="29"/>
      <c r="C387" s="29" t="str">
        <f>A387&amp;B387</f>
        <v/>
      </c>
      <c r="D387" s="30">
        <f>VLOOKUP($C387,Asignaturas!$C$5:$D$261,2,0)</f>
        <v>0</v>
      </c>
      <c r="E387" s="95"/>
      <c r="F387" s="23"/>
      <c r="G387" s="31"/>
      <c r="H387" s="31"/>
      <c r="I387" s="23"/>
      <c r="J387" s="36">
        <f>+Tabla2[[#This Row],[DÍA DE ENTREGA]]+8</f>
        <v>8</v>
      </c>
      <c r="K387" s="23"/>
      <c r="L387" s="99"/>
      <c r="M387" s="29"/>
      <c r="N387" s="29"/>
    </row>
    <row r="388" spans="1:14" ht="31.5" customHeight="1">
      <c r="A388" s="29"/>
      <c r="B388" s="29"/>
      <c r="C388" s="29" t="str">
        <f>A388&amp;B388</f>
        <v/>
      </c>
      <c r="D388" s="30">
        <f>VLOOKUP($C388,Asignaturas!$C$5:$D$261,2,0)</f>
        <v>0</v>
      </c>
      <c r="E388" s="95"/>
      <c r="F388" s="23"/>
      <c r="G388" s="31"/>
      <c r="H388" s="31"/>
      <c r="I388" s="23"/>
      <c r="J388" s="36">
        <f>+Tabla2[[#This Row],[DÍA DE ENTREGA]]+8</f>
        <v>8</v>
      </c>
      <c r="K388" s="23"/>
      <c r="L388" s="99"/>
      <c r="M388" s="29"/>
      <c r="N388" s="29"/>
    </row>
    <row r="389" spans="1:14" ht="31.5" customHeight="1">
      <c r="A389" s="29"/>
      <c r="B389" s="29"/>
      <c r="C389" s="29" t="str">
        <f>A389&amp;B389</f>
        <v/>
      </c>
      <c r="D389" s="30">
        <f>VLOOKUP($C389,Asignaturas!$C$5:$D$261,2,0)</f>
        <v>0</v>
      </c>
      <c r="E389" s="95"/>
      <c r="F389" s="23"/>
      <c r="G389" s="31"/>
      <c r="H389" s="31"/>
      <c r="I389" s="23"/>
      <c r="J389" s="36">
        <f>+Tabla2[[#This Row],[DÍA DE ENTREGA]]+8</f>
        <v>8</v>
      </c>
      <c r="K389" s="23"/>
      <c r="L389" s="99"/>
      <c r="M389" s="29"/>
      <c r="N389" s="29"/>
    </row>
    <row r="390" spans="1:14" ht="31.5" customHeight="1">
      <c r="A390" s="29"/>
      <c r="B390" s="29"/>
      <c r="C390" s="29" t="str">
        <f>A390&amp;B390</f>
        <v/>
      </c>
      <c r="D390" s="30">
        <f>VLOOKUP($C390,Asignaturas!$C$5:$D$261,2,0)</f>
        <v>0</v>
      </c>
      <c r="E390" s="95"/>
      <c r="F390" s="23"/>
      <c r="G390" s="31"/>
      <c r="H390" s="31"/>
      <c r="I390" s="23"/>
      <c r="J390" s="36">
        <f>+Tabla2[[#This Row],[DÍA DE ENTREGA]]+8</f>
        <v>8</v>
      </c>
      <c r="K390" s="23"/>
      <c r="L390" s="99"/>
      <c r="M390" s="29"/>
      <c r="N390" s="29"/>
    </row>
    <row r="391" spans="1:14" ht="31.5" customHeight="1">
      <c r="A391" s="29"/>
      <c r="B391" s="29"/>
      <c r="C391" s="29" t="str">
        <f>A391&amp;B391</f>
        <v/>
      </c>
      <c r="D391" s="30">
        <f>VLOOKUP($C391,Asignaturas!$C$5:$D$261,2,0)</f>
        <v>0</v>
      </c>
      <c r="E391" s="95"/>
      <c r="F391" s="23"/>
      <c r="G391" s="31"/>
      <c r="H391" s="31"/>
      <c r="I391" s="23"/>
      <c r="J391" s="36">
        <f>+Tabla2[[#This Row],[DÍA DE ENTREGA]]+8</f>
        <v>8</v>
      </c>
      <c r="K391" s="23"/>
      <c r="L391" s="99"/>
      <c r="M391" s="29"/>
      <c r="N391" s="29"/>
    </row>
    <row r="392" spans="1:14" ht="31.5" customHeight="1">
      <c r="A392" s="29"/>
      <c r="B392" s="29"/>
      <c r="C392" s="29" t="str">
        <f>A392&amp;B392</f>
        <v/>
      </c>
      <c r="D392" s="30">
        <f>VLOOKUP($C392,Asignaturas!$C$5:$D$261,2,0)</f>
        <v>0</v>
      </c>
      <c r="E392" s="95"/>
      <c r="F392" s="23"/>
      <c r="G392" s="31"/>
      <c r="H392" s="31"/>
      <c r="I392" s="23"/>
      <c r="J392" s="36">
        <f>+Tabla2[[#This Row],[DÍA DE ENTREGA]]+8</f>
        <v>8</v>
      </c>
      <c r="K392" s="23"/>
      <c r="L392" s="99"/>
      <c r="M392" s="29"/>
      <c r="N392" s="29"/>
    </row>
    <row r="393" spans="1:14" ht="31.5" customHeight="1">
      <c r="A393" s="29"/>
      <c r="B393" s="29"/>
      <c r="C393" s="29" t="str">
        <f>A393&amp;B393</f>
        <v/>
      </c>
      <c r="D393" s="30">
        <f>VLOOKUP($C393,Asignaturas!$C$5:$D$261,2,0)</f>
        <v>0</v>
      </c>
      <c r="E393" s="95"/>
      <c r="F393" s="23"/>
      <c r="G393" s="31"/>
      <c r="H393" s="31"/>
      <c r="I393" s="23"/>
      <c r="J393" s="36">
        <f>+Tabla2[[#This Row],[DÍA DE ENTREGA]]+8</f>
        <v>8</v>
      </c>
      <c r="K393" s="23"/>
      <c r="L393" s="99"/>
      <c r="M393" s="29"/>
      <c r="N393" s="29"/>
    </row>
    <row r="394" spans="1:14" ht="31.5" customHeight="1">
      <c r="A394" s="29"/>
      <c r="B394" s="29"/>
      <c r="C394" s="29" t="str">
        <f>A394&amp;B394</f>
        <v/>
      </c>
      <c r="D394" s="30">
        <f>VLOOKUP($C394,Asignaturas!$C$5:$D$261,2,0)</f>
        <v>0</v>
      </c>
      <c r="E394" s="95"/>
      <c r="F394" s="23"/>
      <c r="G394" s="31"/>
      <c r="H394" s="31"/>
      <c r="I394" s="23"/>
      <c r="J394" s="36">
        <f>+Tabla2[[#This Row],[DÍA DE ENTREGA]]+8</f>
        <v>8</v>
      </c>
      <c r="K394" s="23"/>
      <c r="L394" s="99"/>
      <c r="M394" s="29"/>
      <c r="N394" s="29"/>
    </row>
    <row r="395" spans="1:14" ht="31.5" customHeight="1">
      <c r="A395" s="29"/>
      <c r="B395" s="29"/>
      <c r="C395" s="29" t="str">
        <f>A395&amp;B395</f>
        <v/>
      </c>
      <c r="D395" s="30">
        <f>VLOOKUP($C395,Asignaturas!$C$5:$D$261,2,0)</f>
        <v>0</v>
      </c>
      <c r="E395" s="95"/>
      <c r="F395" s="23"/>
      <c r="G395" s="31"/>
      <c r="H395" s="31"/>
      <c r="I395" s="23"/>
      <c r="J395" s="36">
        <f>+Tabla2[[#This Row],[DÍA DE ENTREGA]]+8</f>
        <v>8</v>
      </c>
      <c r="K395" s="23"/>
      <c r="L395" s="99"/>
      <c r="M395" s="29"/>
      <c r="N395" s="29"/>
    </row>
    <row r="396" spans="1:14" ht="31.5" customHeight="1">
      <c r="A396" s="29"/>
      <c r="B396" s="29"/>
      <c r="C396" s="29" t="str">
        <f>A396&amp;B396</f>
        <v/>
      </c>
      <c r="D396" s="30">
        <f>VLOOKUP($C396,Asignaturas!$C$5:$D$261,2,0)</f>
        <v>0</v>
      </c>
      <c r="E396" s="95"/>
      <c r="F396" s="23"/>
      <c r="G396" s="31"/>
      <c r="H396" s="31"/>
      <c r="I396" s="23"/>
      <c r="J396" s="36">
        <f>+Tabla2[[#This Row],[DÍA DE ENTREGA]]+8</f>
        <v>8</v>
      </c>
      <c r="K396" s="23"/>
      <c r="L396" s="99"/>
      <c r="M396" s="58"/>
      <c r="N396" s="29"/>
    </row>
    <row r="397" spans="1:14" ht="31.5" customHeight="1">
      <c r="A397" s="29"/>
      <c r="B397" s="29"/>
      <c r="C397" s="29" t="str">
        <f>A397&amp;B397</f>
        <v/>
      </c>
      <c r="D397" s="30">
        <f>VLOOKUP($C397,Asignaturas!$C$5:$D$261,2,0)</f>
        <v>0</v>
      </c>
      <c r="E397" s="95"/>
      <c r="F397" s="23"/>
      <c r="G397" s="31"/>
      <c r="H397" s="31"/>
      <c r="I397" s="23"/>
      <c r="J397" s="36">
        <f>+Tabla2[[#This Row],[DÍA DE ENTREGA]]+8</f>
        <v>8</v>
      </c>
      <c r="K397" s="23"/>
      <c r="L397" s="99"/>
      <c r="M397" s="29"/>
      <c r="N397" s="29"/>
    </row>
    <row r="398" spans="1:14" ht="31.5" customHeight="1">
      <c r="A398" s="29"/>
      <c r="B398" s="29"/>
      <c r="C398" s="29" t="str">
        <f>A398&amp;B398</f>
        <v/>
      </c>
      <c r="D398" s="30">
        <f>VLOOKUP($C398,Asignaturas!$C$5:$D$261,2,0)</f>
        <v>0</v>
      </c>
      <c r="E398" s="95"/>
      <c r="F398" s="23"/>
      <c r="G398" s="31"/>
      <c r="H398" s="31"/>
      <c r="I398" s="23"/>
      <c r="J398" s="36">
        <f>+Tabla2[[#This Row],[DÍA DE ENTREGA]]+8</f>
        <v>8</v>
      </c>
      <c r="K398" s="23"/>
      <c r="L398" s="99"/>
      <c r="M398" s="29"/>
      <c r="N398" s="29"/>
    </row>
    <row r="399" spans="1:14" ht="31.5" customHeight="1">
      <c r="A399" s="29"/>
      <c r="B399" s="29"/>
      <c r="C399" s="29" t="str">
        <f>A399&amp;B399</f>
        <v/>
      </c>
      <c r="D399" s="30">
        <f>VLOOKUP($C399,Asignaturas!$C$5:$D$261,2,0)</f>
        <v>0</v>
      </c>
      <c r="E399" s="95"/>
      <c r="F399" s="23"/>
      <c r="G399" s="31"/>
      <c r="H399" s="31"/>
      <c r="I399" s="23"/>
      <c r="J399" s="36">
        <f>+Tabla2[[#This Row],[DÍA DE ENTREGA]]+8</f>
        <v>8</v>
      </c>
      <c r="K399" s="23"/>
      <c r="L399" s="99"/>
      <c r="M399" s="30"/>
      <c r="N399" s="29"/>
    </row>
    <row r="400" spans="1:14" ht="31.5" customHeight="1">
      <c r="A400" s="29"/>
      <c r="B400" s="29"/>
      <c r="C400" s="29" t="str">
        <f>A400&amp;B400</f>
        <v/>
      </c>
      <c r="D400" s="30">
        <f>VLOOKUP($C400,Asignaturas!$C$5:$D$261,2,0)</f>
        <v>0</v>
      </c>
      <c r="E400" s="95"/>
      <c r="F400" s="23"/>
      <c r="G400" s="31"/>
      <c r="H400" s="31"/>
      <c r="I400" s="23"/>
      <c r="J400" s="36">
        <f>+Tabla2[[#This Row],[DÍA DE ENTREGA]]+8</f>
        <v>8</v>
      </c>
      <c r="K400" s="23"/>
      <c r="L400" s="100"/>
      <c r="M400" s="29"/>
      <c r="N400" s="29"/>
    </row>
    <row r="401" spans="1:14" ht="31.5" customHeight="1">
      <c r="A401" s="29"/>
      <c r="B401" s="29"/>
      <c r="C401" s="29" t="str">
        <f>A401&amp;B401</f>
        <v/>
      </c>
      <c r="D401" s="30">
        <f>VLOOKUP($C401,Asignaturas!$C$5:$D$261,2,0)</f>
        <v>0</v>
      </c>
      <c r="E401" s="95"/>
      <c r="F401" s="23"/>
      <c r="G401" s="31"/>
      <c r="H401" s="31"/>
      <c r="I401" s="23"/>
      <c r="J401" s="36">
        <f>+Tabla2[[#This Row],[DÍA DE ENTREGA]]+8</f>
        <v>8</v>
      </c>
      <c r="K401" s="23"/>
      <c r="L401" s="100"/>
      <c r="M401" s="29"/>
      <c r="N401" s="29"/>
    </row>
    <row r="402" spans="1:14" ht="31.5" customHeight="1">
      <c r="A402" s="29"/>
      <c r="B402" s="29"/>
      <c r="C402" s="29" t="str">
        <f>A402&amp;B402</f>
        <v/>
      </c>
      <c r="D402" s="30">
        <f>VLOOKUP($C402,Asignaturas!$C$5:$D$261,2,0)</f>
        <v>0</v>
      </c>
      <c r="E402" s="95"/>
      <c r="F402" s="23"/>
      <c r="G402" s="31"/>
      <c r="H402" s="31"/>
      <c r="I402" s="23"/>
      <c r="J402" s="36">
        <f>+Tabla2[[#This Row],[DÍA DE ENTREGA]]+8</f>
        <v>8</v>
      </c>
      <c r="K402" s="23"/>
      <c r="L402" s="100"/>
      <c r="M402" s="29"/>
      <c r="N402" s="29"/>
    </row>
    <row r="403" spans="1:14" ht="31.5" customHeight="1">
      <c r="A403" s="29"/>
      <c r="B403" s="29"/>
      <c r="C403" s="29" t="str">
        <f>A403&amp;B403</f>
        <v/>
      </c>
      <c r="D403" s="30">
        <f>VLOOKUP($C403,Asignaturas!$C$5:$D$261,2,0)</f>
        <v>0</v>
      </c>
      <c r="E403" s="95"/>
      <c r="F403" s="23"/>
      <c r="G403" s="31"/>
      <c r="H403" s="31"/>
      <c r="I403" s="23"/>
      <c r="J403" s="36">
        <f>+Tabla2[[#This Row],[DÍA DE ENTREGA]]+8</f>
        <v>8</v>
      </c>
      <c r="K403" s="23"/>
      <c r="L403" s="100"/>
      <c r="M403" s="29"/>
      <c r="N403" s="29"/>
    </row>
    <row r="404" spans="1:14" ht="31.5" customHeight="1">
      <c r="A404" s="29"/>
      <c r="B404" s="29"/>
      <c r="C404" s="29" t="str">
        <f>A404&amp;B404</f>
        <v/>
      </c>
      <c r="D404" s="30">
        <f>VLOOKUP($C404,Asignaturas!$C$5:$D$261,2,0)</f>
        <v>0</v>
      </c>
      <c r="E404" s="95"/>
      <c r="F404" s="23"/>
      <c r="G404" s="31"/>
      <c r="H404" s="31"/>
      <c r="I404" s="23"/>
      <c r="J404" s="36">
        <f>+Tabla2[[#This Row],[DÍA DE ENTREGA]]+8</f>
        <v>8</v>
      </c>
      <c r="K404" s="23"/>
      <c r="L404" s="100"/>
      <c r="M404" s="29"/>
      <c r="N404" s="29"/>
    </row>
    <row r="405" spans="1:14" ht="31.5" customHeight="1">
      <c r="A405" s="29"/>
      <c r="B405" s="29"/>
      <c r="C405" s="29" t="str">
        <f>A405&amp;B405</f>
        <v/>
      </c>
      <c r="D405" s="30">
        <f>VLOOKUP($C405,Asignaturas!$C$5:$D$261,2,0)</f>
        <v>0</v>
      </c>
      <c r="E405" s="95"/>
      <c r="F405" s="23"/>
      <c r="G405" s="31"/>
      <c r="H405" s="31"/>
      <c r="I405" s="23"/>
      <c r="J405" s="36">
        <f>+Tabla2[[#This Row],[DÍA DE ENTREGA]]+8</f>
        <v>8</v>
      </c>
      <c r="K405" s="23"/>
      <c r="L405" s="100"/>
      <c r="M405" s="29"/>
      <c r="N405" s="29"/>
    </row>
    <row r="406" spans="1:14" ht="31.5" customHeight="1">
      <c r="A406" s="29"/>
      <c r="B406" s="29"/>
      <c r="C406" s="29" t="str">
        <f>A406&amp;B406</f>
        <v/>
      </c>
      <c r="D406" s="30">
        <f>VLOOKUP($C406,Asignaturas!$C$5:$D$261,2,0)</f>
        <v>0</v>
      </c>
      <c r="E406" s="95"/>
      <c r="F406" s="23"/>
      <c r="G406" s="31"/>
      <c r="H406" s="31"/>
      <c r="I406" s="23"/>
      <c r="J406" s="36">
        <f>+Tabla2[[#This Row],[DÍA DE ENTREGA]]+8</f>
        <v>8</v>
      </c>
      <c r="K406" s="23"/>
      <c r="L406" s="100"/>
      <c r="M406" s="29"/>
      <c r="N406" s="29"/>
    </row>
    <row r="407" spans="1:14" ht="31.5" customHeight="1">
      <c r="A407" s="29"/>
      <c r="B407" s="29"/>
      <c r="C407" s="29" t="str">
        <f>A407&amp;B407</f>
        <v/>
      </c>
      <c r="D407" s="30">
        <f>VLOOKUP($C407,Asignaturas!$C$5:$D$261,2,0)</f>
        <v>0</v>
      </c>
      <c r="E407" s="95"/>
      <c r="F407" s="23"/>
      <c r="G407" s="31"/>
      <c r="H407" s="31"/>
      <c r="I407" s="23"/>
      <c r="J407" s="36">
        <f>+Tabla2[[#This Row],[DÍA DE ENTREGA]]+8</f>
        <v>8</v>
      </c>
      <c r="K407" s="23"/>
      <c r="L407" s="100"/>
      <c r="M407" s="29"/>
      <c r="N407" s="29"/>
    </row>
    <row r="408" spans="1:14" ht="31.5" customHeight="1">
      <c r="A408" s="29"/>
      <c r="B408" s="29"/>
      <c r="C408" s="29" t="str">
        <f>A408&amp;B408</f>
        <v/>
      </c>
      <c r="D408" s="30">
        <f>VLOOKUP($C408,Asignaturas!$C$5:$D$261,2,0)</f>
        <v>0</v>
      </c>
      <c r="E408" s="95"/>
      <c r="F408" s="23"/>
      <c r="G408" s="31"/>
      <c r="H408" s="31"/>
      <c r="I408" s="23"/>
      <c r="J408" s="36">
        <f>+Tabla2[[#This Row],[DÍA DE ENTREGA]]+8</f>
        <v>8</v>
      </c>
      <c r="K408" s="23"/>
      <c r="L408" s="100"/>
      <c r="M408" s="29"/>
      <c r="N408" s="29"/>
    </row>
    <row r="409" spans="1:14" ht="31.5" customHeight="1">
      <c r="A409" s="29"/>
      <c r="B409" s="29"/>
      <c r="C409" s="29" t="str">
        <f>A409&amp;B409</f>
        <v/>
      </c>
      <c r="D409" s="30">
        <f>VLOOKUP($C409,Asignaturas!$C$5:$D$261,2,0)</f>
        <v>0</v>
      </c>
      <c r="E409" s="95"/>
      <c r="F409" s="23"/>
      <c r="G409" s="31"/>
      <c r="H409" s="31"/>
      <c r="I409" s="23"/>
      <c r="J409" s="36">
        <f>+Tabla2[[#This Row],[DÍA DE ENTREGA]]+8</f>
        <v>8</v>
      </c>
      <c r="K409" s="23"/>
      <c r="L409" s="99"/>
      <c r="M409" s="29"/>
      <c r="N409" s="29"/>
    </row>
    <row r="410" spans="1:14" ht="31.5" customHeight="1">
      <c r="A410" s="29"/>
      <c r="B410" s="29"/>
      <c r="C410" s="29" t="str">
        <f>A410&amp;B410</f>
        <v/>
      </c>
      <c r="D410" s="30">
        <f>VLOOKUP($C410,Asignaturas!$C$5:$D$261,2,0)</f>
        <v>0</v>
      </c>
      <c r="E410" s="95"/>
      <c r="F410" s="23"/>
      <c r="G410" s="31"/>
      <c r="H410" s="31"/>
      <c r="I410" s="23"/>
      <c r="J410" s="36">
        <f>+Tabla2[[#This Row],[DÍA DE ENTREGA]]+8</f>
        <v>8</v>
      </c>
      <c r="K410" s="23"/>
      <c r="L410" s="99"/>
      <c r="M410" s="29"/>
      <c r="N410" s="29"/>
    </row>
    <row r="411" spans="1:14" ht="31.5" customHeight="1">
      <c r="A411" s="29"/>
      <c r="B411" s="29"/>
      <c r="C411" s="29" t="str">
        <f>A411&amp;B411</f>
        <v/>
      </c>
      <c r="D411" s="30">
        <f>VLOOKUP($C411,Asignaturas!$C$5:$D$261,2,0)</f>
        <v>0</v>
      </c>
      <c r="E411" s="95"/>
      <c r="F411" s="23"/>
      <c r="G411" s="31"/>
      <c r="H411" s="31"/>
      <c r="I411" s="23"/>
      <c r="J411" s="36">
        <f>+Tabla2[[#This Row],[DÍA DE ENTREGA]]+8</f>
        <v>8</v>
      </c>
      <c r="K411" s="23"/>
      <c r="L411" s="99"/>
      <c r="M411" s="30"/>
      <c r="N411" s="29"/>
    </row>
    <row r="412" spans="1:14" ht="31.5" customHeight="1">
      <c r="A412" s="29"/>
      <c r="B412" s="29"/>
      <c r="C412" s="29" t="str">
        <f>A412&amp;B412</f>
        <v/>
      </c>
      <c r="D412" s="30">
        <f>VLOOKUP($C412,Asignaturas!$C$5:$D$261,2,0)</f>
        <v>0</v>
      </c>
      <c r="E412" s="95"/>
      <c r="F412" s="23"/>
      <c r="G412" s="31"/>
      <c r="H412" s="31"/>
      <c r="I412" s="23"/>
      <c r="J412" s="36">
        <f>+Tabla2[[#This Row],[DÍA DE ENTREGA]]+8</f>
        <v>8</v>
      </c>
      <c r="K412" s="23"/>
      <c r="L412" s="99"/>
      <c r="M412" s="29"/>
      <c r="N412" s="29"/>
    </row>
    <row r="413" spans="1:14" ht="31.5" customHeight="1">
      <c r="A413" s="29"/>
      <c r="B413" s="29"/>
      <c r="C413" s="29" t="str">
        <f>A413&amp;B413</f>
        <v/>
      </c>
      <c r="D413" s="30">
        <f>VLOOKUP($C413,Asignaturas!$C$5:$D$261,2,0)</f>
        <v>0</v>
      </c>
      <c r="E413" s="95"/>
      <c r="F413" s="23"/>
      <c r="G413" s="31"/>
      <c r="H413" s="31"/>
      <c r="I413" s="23"/>
      <c r="J413" s="36">
        <f>+Tabla2[[#This Row],[DÍA DE ENTREGA]]+8</f>
        <v>8</v>
      </c>
      <c r="K413" s="23"/>
      <c r="L413" s="99"/>
      <c r="M413" s="29"/>
      <c r="N413" s="29"/>
    </row>
    <row r="414" spans="1:14" ht="31.5" customHeight="1">
      <c r="A414" s="29"/>
      <c r="B414" s="29"/>
      <c r="C414" s="29" t="str">
        <f>A414&amp;B414</f>
        <v/>
      </c>
      <c r="D414" s="30">
        <f>VLOOKUP($C414,Asignaturas!$C$5:$D$261,2,0)</f>
        <v>0</v>
      </c>
      <c r="E414" s="95"/>
      <c r="F414" s="23"/>
      <c r="G414" s="31"/>
      <c r="H414" s="31"/>
      <c r="I414" s="23"/>
      <c r="J414" s="36">
        <f>+Tabla2[[#This Row],[DÍA DE ENTREGA]]+8</f>
        <v>8</v>
      </c>
      <c r="K414" s="23"/>
      <c r="L414" s="100"/>
      <c r="M414" s="29"/>
      <c r="N414" s="29"/>
    </row>
    <row r="415" spans="1:14" ht="31.5" customHeight="1">
      <c r="A415" s="29"/>
      <c r="B415" s="29"/>
      <c r="C415" s="29" t="str">
        <f>A415&amp;B415</f>
        <v/>
      </c>
      <c r="D415" s="30">
        <f>VLOOKUP($C415,Asignaturas!$C$5:$D$261,2,0)</f>
        <v>0</v>
      </c>
      <c r="E415" s="95"/>
      <c r="F415" s="23"/>
      <c r="G415" s="31"/>
      <c r="H415" s="31"/>
      <c r="I415" s="23"/>
      <c r="J415" s="36">
        <f>+Tabla2[[#This Row],[DÍA DE ENTREGA]]+8</f>
        <v>8</v>
      </c>
      <c r="K415" s="23"/>
      <c r="L415" s="100"/>
      <c r="M415" s="29"/>
      <c r="N415" s="29"/>
    </row>
    <row r="416" spans="1:14" ht="31.5" customHeight="1">
      <c r="A416" s="29"/>
      <c r="B416" s="29"/>
      <c r="C416" s="29" t="str">
        <f>A416&amp;B416</f>
        <v/>
      </c>
      <c r="D416" s="30">
        <f>VLOOKUP($C416,Asignaturas!$C$5:$D$261,2,0)</f>
        <v>0</v>
      </c>
      <c r="E416" s="95"/>
      <c r="F416" s="23"/>
      <c r="G416" s="31"/>
      <c r="H416" s="31"/>
      <c r="I416" s="23"/>
      <c r="J416" s="36">
        <f>+Tabla2[[#This Row],[DÍA DE ENTREGA]]+8</f>
        <v>8</v>
      </c>
      <c r="K416" s="23"/>
      <c r="L416" s="99"/>
      <c r="M416" s="29"/>
      <c r="N416" s="29"/>
    </row>
    <row r="417" spans="1:14" ht="31.5" customHeight="1">
      <c r="A417" s="29"/>
      <c r="B417" s="29"/>
      <c r="C417" s="29" t="str">
        <f>A417&amp;B417</f>
        <v/>
      </c>
      <c r="D417" s="30">
        <f>VLOOKUP($C417,Asignaturas!$C$5:$D$261,2,0)</f>
        <v>0</v>
      </c>
      <c r="E417" s="95"/>
      <c r="F417" s="23"/>
      <c r="G417" s="31"/>
      <c r="H417" s="31"/>
      <c r="I417" s="23"/>
      <c r="J417" s="36">
        <f>+Tabla2[[#This Row],[DÍA DE ENTREGA]]+8</f>
        <v>8</v>
      </c>
      <c r="K417" s="23"/>
      <c r="L417" s="100"/>
      <c r="M417" s="29"/>
      <c r="N417" s="29"/>
    </row>
    <row r="418" spans="1:14" ht="31.5" customHeight="1">
      <c r="A418" s="29"/>
      <c r="B418" s="29"/>
      <c r="C418" s="29" t="str">
        <f>A418&amp;B418</f>
        <v/>
      </c>
      <c r="D418" s="30">
        <f>VLOOKUP($C418,Asignaturas!$C$5:$D$261,2,0)</f>
        <v>0</v>
      </c>
      <c r="E418" s="95"/>
      <c r="F418" s="23"/>
      <c r="G418" s="31"/>
      <c r="H418" s="31"/>
      <c r="I418" s="23"/>
      <c r="J418" s="36">
        <f>+Tabla2[[#This Row],[DÍA DE ENTREGA]]+8</f>
        <v>8</v>
      </c>
      <c r="K418" s="23"/>
      <c r="L418" s="99"/>
      <c r="M418" s="29"/>
      <c r="N418" s="29"/>
    </row>
    <row r="419" spans="1:14" ht="31.5" customHeight="1">
      <c r="A419" s="29"/>
      <c r="B419" s="29"/>
      <c r="C419" s="29" t="str">
        <f>A419&amp;B419</f>
        <v/>
      </c>
      <c r="D419" s="30">
        <f>VLOOKUP($C419,Asignaturas!$C$5:$D$261,2,0)</f>
        <v>0</v>
      </c>
      <c r="E419" s="95"/>
      <c r="F419" s="23"/>
      <c r="G419" s="31"/>
      <c r="H419" s="31"/>
      <c r="I419" s="23"/>
      <c r="J419" s="36">
        <f>+Tabla2[[#This Row],[DÍA DE ENTREGA]]+8</f>
        <v>8</v>
      </c>
      <c r="K419" s="23"/>
      <c r="L419" s="99"/>
      <c r="M419" s="29"/>
      <c r="N419" s="29"/>
    </row>
    <row r="420" spans="1:14" ht="31.5" customHeight="1">
      <c r="A420" s="29"/>
      <c r="B420" s="29"/>
      <c r="C420" s="29" t="str">
        <f>A420&amp;B420</f>
        <v/>
      </c>
      <c r="D420" s="30">
        <f>VLOOKUP($C420,Asignaturas!$C$5:$D$261,2,0)</f>
        <v>0</v>
      </c>
      <c r="E420" s="95"/>
      <c r="F420" s="23"/>
      <c r="G420" s="31"/>
      <c r="H420" s="31"/>
      <c r="I420" s="23"/>
      <c r="J420" s="36">
        <f>+Tabla2[[#This Row],[DÍA DE ENTREGA]]+8</f>
        <v>8</v>
      </c>
      <c r="K420" s="23"/>
      <c r="L420" s="99"/>
      <c r="M420" s="29"/>
      <c r="N420" s="29"/>
    </row>
    <row r="421" spans="1:14" ht="31.5" customHeight="1">
      <c r="A421" s="29"/>
      <c r="B421" s="29"/>
      <c r="C421" s="29" t="str">
        <f>A421&amp;B421</f>
        <v/>
      </c>
      <c r="D421" s="30">
        <f>VLOOKUP($C421,Asignaturas!$C$5:$D$261,2,0)</f>
        <v>0</v>
      </c>
      <c r="E421" s="95"/>
      <c r="F421" s="23"/>
      <c r="G421" s="31"/>
      <c r="H421" s="31"/>
      <c r="I421" s="23"/>
      <c r="J421" s="36">
        <f>+Tabla2[[#This Row],[DÍA DE ENTREGA]]+8</f>
        <v>8</v>
      </c>
      <c r="K421" s="23"/>
      <c r="L421" s="99"/>
      <c r="M421" s="29"/>
      <c r="N421" s="29"/>
    </row>
    <row r="422" spans="1:14" ht="31.5" customHeight="1">
      <c r="A422" s="29"/>
      <c r="B422" s="29"/>
      <c r="C422" s="29" t="str">
        <f>A422&amp;B422</f>
        <v/>
      </c>
      <c r="D422" s="30">
        <f>VLOOKUP($C422,Asignaturas!$C$5:$D$261,2,0)</f>
        <v>0</v>
      </c>
      <c r="E422" s="95"/>
      <c r="F422" s="23"/>
      <c r="G422" s="31"/>
      <c r="H422" s="31"/>
      <c r="I422" s="23"/>
      <c r="J422" s="36">
        <f>+Tabla2[[#This Row],[DÍA DE ENTREGA]]+8</f>
        <v>8</v>
      </c>
      <c r="K422" s="23"/>
      <c r="L422" s="99"/>
      <c r="M422" s="29"/>
      <c r="N422" s="29"/>
    </row>
    <row r="423" spans="1:14" ht="31.5" customHeight="1">
      <c r="A423" s="29"/>
      <c r="B423" s="29"/>
      <c r="C423" s="29" t="str">
        <f>A423&amp;B423</f>
        <v/>
      </c>
      <c r="D423" s="30">
        <f>VLOOKUP($C423,Asignaturas!$C$5:$D$261,2,0)</f>
        <v>0</v>
      </c>
      <c r="E423" s="95"/>
      <c r="F423" s="23"/>
      <c r="G423" s="31"/>
      <c r="H423" s="31"/>
      <c r="I423" s="23"/>
      <c r="J423" s="36">
        <f>+Tabla2[[#This Row],[DÍA DE ENTREGA]]+8</f>
        <v>8</v>
      </c>
      <c r="K423" s="23"/>
      <c r="L423" s="99"/>
      <c r="M423" s="29"/>
      <c r="N423" s="29"/>
    </row>
    <row r="424" spans="1:14" ht="31.5" customHeight="1">
      <c r="A424" s="29"/>
      <c r="B424" s="29"/>
      <c r="C424" s="29" t="str">
        <f>A424&amp;B424</f>
        <v/>
      </c>
      <c r="D424" s="30">
        <f>VLOOKUP($C424,Asignaturas!$C$5:$D$261,2,0)</f>
        <v>0</v>
      </c>
      <c r="E424" s="95"/>
      <c r="F424" s="23"/>
      <c r="G424" s="31"/>
      <c r="H424" s="31"/>
      <c r="I424" s="23"/>
      <c r="J424" s="36">
        <f>+Tabla2[[#This Row],[DÍA DE ENTREGA]]+8</f>
        <v>8</v>
      </c>
      <c r="K424" s="23"/>
      <c r="L424" s="99"/>
      <c r="M424" s="29"/>
      <c r="N424" s="29"/>
    </row>
    <row r="425" spans="1:14" ht="31.5" customHeight="1">
      <c r="A425" s="29"/>
      <c r="B425" s="29"/>
      <c r="C425" s="29" t="str">
        <f>A425&amp;B425</f>
        <v/>
      </c>
      <c r="D425" s="30">
        <f>VLOOKUP($C425,Asignaturas!$C$5:$D$261,2,0)</f>
        <v>0</v>
      </c>
      <c r="E425" s="95"/>
      <c r="F425" s="23"/>
      <c r="G425" s="31"/>
      <c r="H425" s="31"/>
      <c r="I425" s="23"/>
      <c r="J425" s="36">
        <f>+Tabla2[[#This Row],[DÍA DE ENTREGA]]+8</f>
        <v>8</v>
      </c>
      <c r="K425" s="23"/>
      <c r="L425" s="100"/>
      <c r="M425" s="84"/>
      <c r="N425" s="29"/>
    </row>
    <row r="426" spans="1:14" ht="31.5" customHeight="1">
      <c r="A426" s="29"/>
      <c r="B426" s="29"/>
      <c r="C426" s="29" t="str">
        <f>A426&amp;B426</f>
        <v/>
      </c>
      <c r="D426" s="30">
        <f>VLOOKUP($C426,Asignaturas!$C$5:$D$261,2,0)</f>
        <v>0</v>
      </c>
      <c r="E426" s="95"/>
      <c r="F426" s="23"/>
      <c r="G426" s="31"/>
      <c r="H426" s="31"/>
      <c r="I426" s="23"/>
      <c r="J426" s="36">
        <f>+Tabla2[[#This Row],[DÍA DE ENTREGA]]+8</f>
        <v>8</v>
      </c>
      <c r="K426" s="23"/>
      <c r="L426" s="99"/>
      <c r="M426" s="29"/>
      <c r="N426" s="29"/>
    </row>
    <row r="427" spans="1:14" ht="31.5" customHeight="1">
      <c r="A427" s="29"/>
      <c r="B427" s="29"/>
      <c r="C427" s="29" t="str">
        <f>A427&amp;B427</f>
        <v/>
      </c>
      <c r="D427" s="30">
        <f>VLOOKUP($C427,Asignaturas!$C$5:$D$261,2,0)</f>
        <v>0</v>
      </c>
      <c r="E427" s="95"/>
      <c r="F427" s="23"/>
      <c r="G427" s="31"/>
      <c r="H427" s="31"/>
      <c r="I427" s="23"/>
      <c r="J427" s="36">
        <f>+Tabla2[[#This Row],[DÍA DE ENTREGA]]+8</f>
        <v>8</v>
      </c>
      <c r="K427" s="23"/>
      <c r="L427" s="99"/>
      <c r="M427" s="29"/>
      <c r="N427" s="29"/>
    </row>
    <row r="428" spans="1:14" ht="31.5" customHeight="1">
      <c r="A428" s="29"/>
      <c r="B428" s="29"/>
      <c r="C428" s="29" t="str">
        <f>A428&amp;B428</f>
        <v/>
      </c>
      <c r="D428" s="30">
        <f>VLOOKUP($C428,Asignaturas!$C$5:$D$261,2,0)</f>
        <v>0</v>
      </c>
      <c r="E428" s="95"/>
      <c r="F428" s="23"/>
      <c r="G428" s="31"/>
      <c r="H428" s="31"/>
      <c r="I428" s="23"/>
      <c r="J428" s="36">
        <f>+Tabla2[[#This Row],[DÍA DE ENTREGA]]+8</f>
        <v>8</v>
      </c>
      <c r="K428" s="23"/>
      <c r="L428" s="99"/>
      <c r="M428" s="29"/>
      <c r="N428" s="29"/>
    </row>
    <row r="429" spans="1:14" ht="31.5" customHeight="1">
      <c r="A429" s="29"/>
      <c r="B429" s="29"/>
      <c r="C429" s="29" t="str">
        <f>A429&amp;B429</f>
        <v/>
      </c>
      <c r="D429" s="30">
        <f>VLOOKUP($C429,Asignaturas!$C$5:$D$261,2,0)</f>
        <v>0</v>
      </c>
      <c r="E429" s="95"/>
      <c r="F429" s="23"/>
      <c r="G429" s="31"/>
      <c r="H429" s="31"/>
      <c r="I429" s="23"/>
      <c r="J429" s="36">
        <f>+Tabla2[[#This Row],[DÍA DE ENTREGA]]+8</f>
        <v>8</v>
      </c>
      <c r="K429" s="23"/>
      <c r="L429" s="100"/>
      <c r="M429" s="29"/>
      <c r="N429" s="29"/>
    </row>
    <row r="430" spans="1:14" ht="31.5" customHeight="1">
      <c r="A430" s="29"/>
      <c r="B430" s="29"/>
      <c r="C430" s="29" t="str">
        <f>A430&amp;B430</f>
        <v/>
      </c>
      <c r="D430" s="30">
        <f>VLOOKUP($C430,Asignaturas!$C$5:$D$261,2,0)</f>
        <v>0</v>
      </c>
      <c r="E430" s="95"/>
      <c r="F430" s="23"/>
      <c r="G430" s="31"/>
      <c r="H430" s="31"/>
      <c r="I430" s="23"/>
      <c r="J430" s="36">
        <f>+Tabla2[[#This Row],[DÍA DE ENTREGA]]+8</f>
        <v>8</v>
      </c>
      <c r="K430" s="23"/>
      <c r="L430" s="100"/>
      <c r="M430" s="29"/>
      <c r="N430" s="29"/>
    </row>
    <row r="431" spans="1:14" ht="31.5" customHeight="1">
      <c r="A431" s="29"/>
      <c r="B431" s="29"/>
      <c r="C431" s="29" t="str">
        <f>A431&amp;B431</f>
        <v/>
      </c>
      <c r="D431" s="30">
        <f>VLOOKUP($C431,Asignaturas!$C$5:$D$261,2,0)</f>
        <v>0</v>
      </c>
      <c r="E431" s="95"/>
      <c r="F431" s="23"/>
      <c r="G431" s="31"/>
      <c r="H431" s="31"/>
      <c r="I431" s="23"/>
      <c r="J431" s="36">
        <f>+Tabla2[[#This Row],[DÍA DE ENTREGA]]+8</f>
        <v>8</v>
      </c>
      <c r="K431" s="23"/>
      <c r="L431" s="100"/>
      <c r="M431" s="29"/>
      <c r="N431" s="29"/>
    </row>
    <row r="432" spans="1:14" ht="31.5" customHeight="1">
      <c r="A432" s="29"/>
      <c r="B432" s="29"/>
      <c r="C432" s="29" t="str">
        <f>A432&amp;B432</f>
        <v/>
      </c>
      <c r="D432" s="30">
        <f>VLOOKUP($C432,Asignaturas!$C$5:$D$261,2,0)</f>
        <v>0</v>
      </c>
      <c r="E432" s="95"/>
      <c r="F432" s="23"/>
      <c r="G432" s="31"/>
      <c r="H432" s="31"/>
      <c r="I432" s="23"/>
      <c r="J432" s="36">
        <f>+Tabla2[[#This Row],[DÍA DE ENTREGA]]+8</f>
        <v>8</v>
      </c>
      <c r="K432" s="23"/>
      <c r="L432" s="100"/>
      <c r="M432" s="29"/>
      <c r="N432" s="29"/>
    </row>
    <row r="433" spans="1:14" ht="31.5" customHeight="1">
      <c r="A433" s="29"/>
      <c r="B433" s="29"/>
      <c r="C433" s="29" t="str">
        <f>A433&amp;B433</f>
        <v/>
      </c>
      <c r="D433" s="30">
        <f>VLOOKUP($C433,Asignaturas!$C$5:$D$261,2,0)</f>
        <v>0</v>
      </c>
      <c r="E433" s="95"/>
      <c r="F433" s="23"/>
      <c r="G433" s="31"/>
      <c r="H433" s="31"/>
      <c r="I433" s="23"/>
      <c r="J433" s="36">
        <f>+Tabla2[[#This Row],[DÍA DE ENTREGA]]+8</f>
        <v>8</v>
      </c>
      <c r="K433" s="23"/>
      <c r="L433" s="100"/>
      <c r="M433" s="29"/>
      <c r="N433" s="29"/>
    </row>
    <row r="434" spans="1:14" ht="31.5" customHeight="1">
      <c r="A434" s="29"/>
      <c r="B434" s="29"/>
      <c r="C434" s="29" t="str">
        <f>A434&amp;B434</f>
        <v/>
      </c>
      <c r="D434" s="30">
        <f>VLOOKUP($C434,Asignaturas!$C$5:$D$261,2,0)</f>
        <v>0</v>
      </c>
      <c r="E434" s="95"/>
      <c r="F434" s="23"/>
      <c r="G434" s="31"/>
      <c r="H434" s="31"/>
      <c r="I434" s="23"/>
      <c r="J434" s="36">
        <f>+Tabla2[[#This Row],[DÍA DE ENTREGA]]+8</f>
        <v>8</v>
      </c>
      <c r="K434" s="23"/>
      <c r="L434" s="100"/>
      <c r="M434" s="29"/>
      <c r="N434" s="29"/>
    </row>
    <row r="435" spans="1:14" ht="31.5" customHeight="1">
      <c r="A435" s="29"/>
      <c r="B435" s="29"/>
      <c r="C435" s="29" t="str">
        <f>A435&amp;B435</f>
        <v/>
      </c>
      <c r="D435" s="30">
        <f>VLOOKUP($C435,Asignaturas!$C$5:$D$261,2,0)</f>
        <v>0</v>
      </c>
      <c r="E435" s="95"/>
      <c r="F435" s="23"/>
      <c r="G435" s="31"/>
      <c r="H435" s="31"/>
      <c r="I435" s="23"/>
      <c r="J435" s="36">
        <f>+Tabla2[[#This Row],[DÍA DE ENTREGA]]+8</f>
        <v>8</v>
      </c>
      <c r="K435" s="23"/>
      <c r="L435" s="99"/>
      <c r="M435" s="29"/>
      <c r="N435" s="29"/>
    </row>
    <row r="436" spans="1:14" ht="31.5" customHeight="1">
      <c r="A436" s="29"/>
      <c r="B436" s="29"/>
      <c r="C436" s="29" t="str">
        <f>A436&amp;B436</f>
        <v/>
      </c>
      <c r="D436" s="30">
        <f>VLOOKUP($C436,Asignaturas!$C$5:$D$261,2,0)</f>
        <v>0</v>
      </c>
      <c r="E436" s="95"/>
      <c r="F436" s="23"/>
      <c r="G436" s="31"/>
      <c r="H436" s="31"/>
      <c r="I436" s="23"/>
      <c r="J436" s="36">
        <f>+Tabla2[[#This Row],[DÍA DE ENTREGA]]+8</f>
        <v>8</v>
      </c>
      <c r="K436" s="23"/>
      <c r="L436" s="99"/>
      <c r="M436" s="29"/>
      <c r="N436" s="29"/>
    </row>
    <row r="437" spans="1:14" ht="31.5" customHeight="1">
      <c r="A437" s="29"/>
      <c r="B437" s="29"/>
      <c r="C437" s="29" t="str">
        <f>A437&amp;B437</f>
        <v/>
      </c>
      <c r="D437" s="30">
        <f>VLOOKUP($C437,Asignaturas!$C$5:$D$261,2,0)</f>
        <v>0</v>
      </c>
      <c r="E437" s="95"/>
      <c r="F437" s="23"/>
      <c r="G437" s="31"/>
      <c r="H437" s="31"/>
      <c r="I437" s="23"/>
      <c r="J437" s="36">
        <f>+Tabla2[[#This Row],[DÍA DE ENTREGA]]+8</f>
        <v>8</v>
      </c>
      <c r="K437" s="23"/>
      <c r="L437" s="99"/>
      <c r="M437" s="29"/>
      <c r="N437" s="29"/>
    </row>
    <row r="438" spans="1:14" ht="31.5" customHeight="1">
      <c r="A438" s="29"/>
      <c r="B438" s="29"/>
      <c r="C438" s="29" t="str">
        <f>A438&amp;B438</f>
        <v/>
      </c>
      <c r="D438" s="30">
        <f>VLOOKUP($C438,Asignaturas!$C$5:$D$261,2,0)</f>
        <v>0</v>
      </c>
      <c r="E438" s="95"/>
      <c r="F438" s="23"/>
      <c r="G438" s="31"/>
      <c r="H438" s="31"/>
      <c r="I438" s="23"/>
      <c r="J438" s="36">
        <f>+Tabla2[[#This Row],[DÍA DE ENTREGA]]+8</f>
        <v>8</v>
      </c>
      <c r="K438" s="23"/>
      <c r="L438" s="100"/>
      <c r="M438" s="29"/>
      <c r="N438" s="29"/>
    </row>
    <row r="439" spans="1:14" ht="31.5" customHeight="1">
      <c r="A439" s="29"/>
      <c r="B439" s="29"/>
      <c r="C439" s="29" t="str">
        <f>A439&amp;B439</f>
        <v/>
      </c>
      <c r="D439" s="30">
        <f>VLOOKUP($C439,Asignaturas!$C$5:$D$261,2,0)</f>
        <v>0</v>
      </c>
      <c r="E439" s="95"/>
      <c r="F439" s="23"/>
      <c r="G439" s="31"/>
      <c r="H439" s="31"/>
      <c r="I439" s="23"/>
      <c r="J439" s="36">
        <f>+Tabla2[[#This Row],[DÍA DE ENTREGA]]+8</f>
        <v>8</v>
      </c>
      <c r="K439" s="23"/>
      <c r="L439" s="100"/>
      <c r="M439" s="29"/>
      <c r="N439" s="29"/>
    </row>
    <row r="440" spans="1:14" ht="31.5" customHeight="1">
      <c r="A440" s="29"/>
      <c r="B440" s="29"/>
      <c r="C440" s="29" t="str">
        <f>A440&amp;B440</f>
        <v/>
      </c>
      <c r="D440" s="30">
        <f>VLOOKUP($C440,Asignaturas!$C$5:$D$261,2,0)</f>
        <v>0</v>
      </c>
      <c r="E440" s="95"/>
      <c r="F440" s="23"/>
      <c r="G440" s="31"/>
      <c r="H440" s="31"/>
      <c r="I440" s="23"/>
      <c r="J440" s="36">
        <f>+Tabla2[[#This Row],[DÍA DE ENTREGA]]+8</f>
        <v>8</v>
      </c>
      <c r="K440" s="23"/>
      <c r="L440" s="100"/>
      <c r="M440" s="29"/>
      <c r="N440" s="29"/>
    </row>
    <row r="441" spans="1:14" ht="31.5" customHeight="1">
      <c r="A441" s="29"/>
      <c r="B441" s="29"/>
      <c r="C441" s="29" t="str">
        <f>A441&amp;B441</f>
        <v/>
      </c>
      <c r="D441" s="30">
        <f>VLOOKUP($C441,Asignaturas!$C$5:$D$261,2,0)</f>
        <v>0</v>
      </c>
      <c r="E441" s="95"/>
      <c r="F441" s="23"/>
      <c r="G441" s="31"/>
      <c r="H441" s="31"/>
      <c r="I441" s="23"/>
      <c r="J441" s="36">
        <f>+Tabla2[[#This Row],[DÍA DE ENTREGA]]+8</f>
        <v>8</v>
      </c>
      <c r="K441" s="23"/>
      <c r="L441" s="100"/>
      <c r="M441" s="29"/>
      <c r="N441" s="29"/>
    </row>
    <row r="442" spans="1:14" ht="31.5" customHeight="1">
      <c r="A442" s="29"/>
      <c r="B442" s="29"/>
      <c r="C442" s="29" t="str">
        <f>A442&amp;B442</f>
        <v/>
      </c>
      <c r="D442" s="30">
        <f>VLOOKUP($C442,Asignaturas!$C$5:$D$261,2,0)</f>
        <v>0</v>
      </c>
      <c r="E442" s="95"/>
      <c r="F442" s="23"/>
      <c r="G442" s="31"/>
      <c r="H442" s="31"/>
      <c r="I442" s="23"/>
      <c r="J442" s="36">
        <f>+Tabla2[[#This Row],[DÍA DE ENTREGA]]+8</f>
        <v>8</v>
      </c>
      <c r="K442" s="23"/>
      <c r="L442" s="100"/>
      <c r="M442" s="41"/>
      <c r="N442" s="29"/>
    </row>
    <row r="443" spans="1:14" ht="31.5" customHeight="1">
      <c r="A443" s="29"/>
      <c r="B443" s="29"/>
      <c r="C443" s="29" t="str">
        <f>A443&amp;B443</f>
        <v/>
      </c>
      <c r="D443" s="30">
        <f>VLOOKUP($C443,Asignaturas!$C$5:$D$261,2,0)</f>
        <v>0</v>
      </c>
      <c r="E443" s="95"/>
      <c r="F443" s="23"/>
      <c r="G443" s="31"/>
      <c r="H443" s="31"/>
      <c r="I443" s="23"/>
      <c r="J443" s="36">
        <f>+Tabla2[[#This Row],[DÍA DE ENTREGA]]+8</f>
        <v>8</v>
      </c>
      <c r="K443" s="23"/>
      <c r="L443" s="99"/>
      <c r="M443" s="29"/>
      <c r="N443" s="29"/>
    </row>
    <row r="444" spans="1:14" ht="31.5" customHeight="1">
      <c r="A444" s="29"/>
      <c r="B444" s="29"/>
      <c r="C444" s="29" t="str">
        <f>A444&amp;B444</f>
        <v/>
      </c>
      <c r="D444" s="30">
        <f>VLOOKUP($C444,Asignaturas!$C$5:$D$261,2,0)</f>
        <v>0</v>
      </c>
      <c r="E444" s="95"/>
      <c r="F444" s="23"/>
      <c r="G444" s="31"/>
      <c r="H444" s="31"/>
      <c r="I444" s="23"/>
      <c r="J444" s="36">
        <f>+Tabla2[[#This Row],[DÍA DE ENTREGA]]+8</f>
        <v>8</v>
      </c>
      <c r="K444" s="23"/>
      <c r="L444" s="99"/>
      <c r="M444" s="29"/>
      <c r="N444" s="29"/>
    </row>
    <row r="445" spans="1:14" ht="31.5" customHeight="1">
      <c r="A445" s="29"/>
      <c r="B445" s="29"/>
      <c r="C445" s="29" t="str">
        <f>A445&amp;B445</f>
        <v/>
      </c>
      <c r="D445" s="30">
        <f>VLOOKUP($C445,Asignaturas!$C$5:$D$261,2,0)</f>
        <v>0</v>
      </c>
      <c r="E445" s="95"/>
      <c r="F445" s="23"/>
      <c r="G445" s="31"/>
      <c r="H445" s="31"/>
      <c r="I445" s="23"/>
      <c r="J445" s="36">
        <f>+Tabla2[[#This Row],[DÍA DE ENTREGA]]+8</f>
        <v>8</v>
      </c>
      <c r="K445" s="23"/>
      <c r="L445" s="99"/>
      <c r="M445" s="29"/>
      <c r="N445" s="29"/>
    </row>
    <row r="446" spans="1:14" ht="31.5" customHeight="1">
      <c r="A446" s="29"/>
      <c r="B446" s="29"/>
      <c r="C446" s="29" t="str">
        <f>A446&amp;B446</f>
        <v/>
      </c>
      <c r="D446" s="30">
        <f>VLOOKUP($C446,Asignaturas!$C$5:$D$261,2,0)</f>
        <v>0</v>
      </c>
      <c r="E446" s="95"/>
      <c r="F446" s="23"/>
      <c r="G446" s="31"/>
      <c r="H446" s="31"/>
      <c r="I446" s="23"/>
      <c r="J446" s="36">
        <f>+Tabla2[[#This Row],[DÍA DE ENTREGA]]+8</f>
        <v>8</v>
      </c>
      <c r="K446" s="23"/>
      <c r="L446" s="99"/>
      <c r="M446" s="29"/>
      <c r="N446" s="29"/>
    </row>
    <row r="447" spans="1:14" ht="31.5" customHeight="1">
      <c r="A447" s="29"/>
      <c r="B447" s="29"/>
      <c r="C447" s="29" t="str">
        <f>A447&amp;B447</f>
        <v/>
      </c>
      <c r="D447" s="30">
        <f>VLOOKUP($C447,Asignaturas!$C$5:$D$261,2,0)</f>
        <v>0</v>
      </c>
      <c r="E447" s="95"/>
      <c r="F447" s="23"/>
      <c r="G447" s="31"/>
      <c r="H447" s="31"/>
      <c r="I447" s="23"/>
      <c r="J447" s="36">
        <f>+Tabla2[[#This Row],[DÍA DE ENTREGA]]+8</f>
        <v>8</v>
      </c>
      <c r="K447" s="23"/>
      <c r="L447" s="99"/>
      <c r="M447" s="29"/>
      <c r="N447" s="29"/>
    </row>
    <row r="448" spans="1:14" ht="31.5" customHeight="1">
      <c r="A448" s="29"/>
      <c r="B448" s="29"/>
      <c r="C448" s="29" t="str">
        <f>A448&amp;B448</f>
        <v/>
      </c>
      <c r="D448" s="30">
        <f>VLOOKUP($C448,Asignaturas!$C$5:$D$261,2,0)</f>
        <v>0</v>
      </c>
      <c r="E448" s="95"/>
      <c r="F448" s="23"/>
      <c r="G448" s="31"/>
      <c r="H448" s="31"/>
      <c r="I448" s="23"/>
      <c r="J448" s="36">
        <f>+Tabla2[[#This Row],[DÍA DE ENTREGA]]+8</f>
        <v>8</v>
      </c>
      <c r="K448" s="23"/>
      <c r="L448" s="99"/>
      <c r="M448" s="29"/>
      <c r="N448" s="29"/>
    </row>
    <row r="449" spans="1:14" ht="31.5" customHeight="1">
      <c r="A449" s="29"/>
      <c r="B449" s="29"/>
      <c r="C449" s="29" t="str">
        <f>A449&amp;B449</f>
        <v/>
      </c>
      <c r="D449" s="30">
        <f>VLOOKUP($C449,Asignaturas!$C$5:$D$261,2,0)</f>
        <v>0</v>
      </c>
      <c r="E449" s="95"/>
      <c r="F449" s="23"/>
      <c r="G449" s="31"/>
      <c r="H449" s="31"/>
      <c r="I449" s="23"/>
      <c r="J449" s="36">
        <f>+Tabla2[[#This Row],[DÍA DE ENTREGA]]+8</f>
        <v>8</v>
      </c>
      <c r="K449" s="23"/>
      <c r="L449" s="99"/>
      <c r="M449" s="29"/>
      <c r="N449" s="29"/>
    </row>
    <row r="450" spans="1:14" ht="31.5" customHeight="1">
      <c r="A450" s="29"/>
      <c r="B450" s="29"/>
      <c r="C450" s="29" t="str">
        <f>A450&amp;B450</f>
        <v/>
      </c>
      <c r="D450" s="30">
        <f>VLOOKUP($C450,Asignaturas!$C$5:$D$261,2,0)</f>
        <v>0</v>
      </c>
      <c r="E450" s="95"/>
      <c r="F450" s="23"/>
      <c r="G450" s="31"/>
      <c r="H450" s="31"/>
      <c r="I450" s="23"/>
      <c r="J450" s="36">
        <f>+Tabla2[[#This Row],[DÍA DE ENTREGA]]+8</f>
        <v>8</v>
      </c>
      <c r="K450" s="23"/>
      <c r="L450" s="99"/>
      <c r="M450" s="41"/>
      <c r="N450" s="29"/>
    </row>
    <row r="451" spans="1:14" ht="31.5" customHeight="1">
      <c r="A451" s="29"/>
      <c r="B451" s="29"/>
      <c r="C451" s="29" t="str">
        <f>A451&amp;B451</f>
        <v/>
      </c>
      <c r="D451" s="30">
        <f>VLOOKUP($C451,Asignaturas!$C$5:$D$261,2,0)</f>
        <v>0</v>
      </c>
      <c r="E451" s="95"/>
      <c r="F451" s="23"/>
      <c r="G451" s="31"/>
      <c r="H451" s="31"/>
      <c r="I451" s="23"/>
      <c r="J451" s="36">
        <f>+Tabla2[[#This Row],[DÍA DE ENTREGA]]+8</f>
        <v>8</v>
      </c>
      <c r="K451" s="23"/>
      <c r="L451" s="99"/>
      <c r="M451" s="29"/>
      <c r="N451" s="29"/>
    </row>
    <row r="452" spans="1:14" ht="31.5" customHeight="1">
      <c r="A452" s="29"/>
      <c r="B452" s="29"/>
      <c r="C452" s="29" t="str">
        <f>A452&amp;B452</f>
        <v/>
      </c>
      <c r="D452" s="30">
        <f>VLOOKUP($C452,Asignaturas!$C$5:$D$261,2,0)</f>
        <v>0</v>
      </c>
      <c r="E452" s="95"/>
      <c r="F452" s="23"/>
      <c r="G452" s="31"/>
      <c r="H452" s="31"/>
      <c r="I452" s="23"/>
      <c r="J452" s="36">
        <f>+Tabla2[[#This Row],[DÍA DE ENTREGA]]+8</f>
        <v>8</v>
      </c>
      <c r="K452" s="23"/>
      <c r="L452" s="99"/>
      <c r="M452" s="29"/>
      <c r="N452" s="29"/>
    </row>
    <row r="453" spans="1:14" ht="31.5" customHeight="1">
      <c r="A453" s="29"/>
      <c r="B453" s="29"/>
      <c r="C453" s="29" t="str">
        <f>A453&amp;B453</f>
        <v/>
      </c>
      <c r="D453" s="30">
        <f>VLOOKUP($C453,Asignaturas!$C$5:$D$261,2,0)</f>
        <v>0</v>
      </c>
      <c r="E453" s="95"/>
      <c r="F453" s="23"/>
      <c r="G453" s="31"/>
      <c r="H453" s="31"/>
      <c r="I453" s="23"/>
      <c r="J453" s="36">
        <f>+Tabla2[[#This Row],[DÍA DE ENTREGA]]+8</f>
        <v>8</v>
      </c>
      <c r="K453" s="23"/>
      <c r="L453" s="99"/>
      <c r="M453" s="29"/>
      <c r="N453" s="29"/>
    </row>
    <row r="454" spans="1:14" ht="31.5" customHeight="1">
      <c r="A454" s="29"/>
      <c r="B454" s="29"/>
      <c r="C454" s="29" t="str">
        <f>A454&amp;B454</f>
        <v/>
      </c>
      <c r="D454" s="30">
        <f>VLOOKUP($C454,Asignaturas!$C$5:$D$261,2,0)</f>
        <v>0</v>
      </c>
      <c r="E454" s="95"/>
      <c r="F454" s="23"/>
      <c r="G454" s="31"/>
      <c r="H454" s="31"/>
      <c r="I454" s="23"/>
      <c r="J454" s="36">
        <f>+Tabla2[[#This Row],[DÍA DE ENTREGA]]+8</f>
        <v>8</v>
      </c>
      <c r="K454" s="23"/>
      <c r="L454" s="99"/>
      <c r="M454" s="29"/>
      <c r="N454" s="29"/>
    </row>
    <row r="455" spans="1:14" ht="31.5" customHeight="1">
      <c r="A455" s="29"/>
      <c r="B455" s="29"/>
      <c r="C455" s="29" t="str">
        <f>A455&amp;B455</f>
        <v/>
      </c>
      <c r="D455" s="30">
        <f>VLOOKUP($C455,Asignaturas!$C$5:$D$261,2,0)</f>
        <v>0</v>
      </c>
      <c r="E455" s="95"/>
      <c r="F455" s="23"/>
      <c r="G455" s="31"/>
      <c r="H455" s="31"/>
      <c r="I455" s="23"/>
      <c r="J455" s="36">
        <f>+Tabla2[[#This Row],[DÍA DE ENTREGA]]+8</f>
        <v>8</v>
      </c>
      <c r="K455" s="23"/>
      <c r="L455" s="99"/>
      <c r="M455" s="29"/>
      <c r="N455" s="29"/>
    </row>
    <row r="456" spans="1:14" ht="31.5" customHeight="1">
      <c r="A456" s="29"/>
      <c r="B456" s="29"/>
      <c r="C456" s="29" t="str">
        <f>A456&amp;B456</f>
        <v/>
      </c>
      <c r="D456" s="30">
        <f>VLOOKUP($C456,Asignaturas!$C$5:$D$261,2,0)</f>
        <v>0</v>
      </c>
      <c r="E456" s="95"/>
      <c r="F456" s="23"/>
      <c r="G456" s="31"/>
      <c r="H456" s="31"/>
      <c r="I456" s="23"/>
      <c r="J456" s="36">
        <f>+Tabla2[[#This Row],[DÍA DE ENTREGA]]+8</f>
        <v>8</v>
      </c>
      <c r="K456" s="23"/>
      <c r="L456" s="99"/>
      <c r="M456" s="29"/>
      <c r="N456" s="29"/>
    </row>
    <row r="457" spans="1:14" ht="31.5" customHeight="1">
      <c r="A457" s="29"/>
      <c r="B457" s="29"/>
      <c r="C457" s="29" t="str">
        <f>A457&amp;B457</f>
        <v/>
      </c>
      <c r="D457" s="30">
        <f>VLOOKUP($C457,Asignaturas!$C$5:$D$261,2,0)</f>
        <v>0</v>
      </c>
      <c r="E457" s="95"/>
      <c r="F457" s="23"/>
      <c r="G457" s="31"/>
      <c r="H457" s="31"/>
      <c r="I457" s="23"/>
      <c r="J457" s="36">
        <f>+Tabla2[[#This Row],[DÍA DE ENTREGA]]+8</f>
        <v>8</v>
      </c>
      <c r="K457" s="23"/>
      <c r="L457" s="99"/>
      <c r="M457" s="29"/>
      <c r="N457" s="29"/>
    </row>
    <row r="458" spans="1:14" ht="31.5" customHeight="1">
      <c r="A458" s="29"/>
      <c r="B458" s="29"/>
      <c r="C458" s="29" t="str">
        <f>A458&amp;B458</f>
        <v/>
      </c>
      <c r="D458" s="30">
        <f>VLOOKUP($C458,Asignaturas!$C$5:$D$261,2,0)</f>
        <v>0</v>
      </c>
      <c r="E458" s="95"/>
      <c r="F458" s="23"/>
      <c r="G458" s="31"/>
      <c r="H458" s="31"/>
      <c r="I458" s="23"/>
      <c r="J458" s="36">
        <f>+Tabla2[[#This Row],[DÍA DE ENTREGA]]+8</f>
        <v>8</v>
      </c>
      <c r="K458" s="23"/>
      <c r="L458" s="99"/>
      <c r="M458" s="29"/>
      <c r="N458" s="29"/>
    </row>
    <row r="459" spans="1:14" ht="31.5" customHeight="1">
      <c r="A459" s="29"/>
      <c r="B459" s="29"/>
      <c r="C459" s="29" t="str">
        <f>A459&amp;B459</f>
        <v/>
      </c>
      <c r="D459" s="30">
        <f>VLOOKUP($C459,Asignaturas!$C$5:$D$261,2,0)</f>
        <v>0</v>
      </c>
      <c r="E459" s="95"/>
      <c r="F459" s="23"/>
      <c r="G459" s="31"/>
      <c r="H459" s="31"/>
      <c r="I459" s="23"/>
      <c r="J459" s="36">
        <f>+Tabla2[[#This Row],[DÍA DE ENTREGA]]+8</f>
        <v>8</v>
      </c>
      <c r="K459" s="23"/>
      <c r="L459" s="99"/>
      <c r="M459" s="29"/>
      <c r="N459" s="29"/>
    </row>
    <row r="460" spans="1:14" ht="31.5" customHeight="1">
      <c r="A460" s="29"/>
      <c r="B460" s="29"/>
      <c r="C460" s="29" t="str">
        <f>A460&amp;B460</f>
        <v/>
      </c>
      <c r="D460" s="30">
        <f>VLOOKUP($C460,Asignaturas!$C$5:$D$261,2,0)</f>
        <v>0</v>
      </c>
      <c r="E460" s="95"/>
      <c r="F460" s="23"/>
      <c r="G460" s="31"/>
      <c r="H460" s="31"/>
      <c r="I460" s="23"/>
      <c r="J460" s="36">
        <f>+Tabla2[[#This Row],[DÍA DE ENTREGA]]+8</f>
        <v>8</v>
      </c>
      <c r="K460" s="23"/>
      <c r="L460" s="99"/>
      <c r="M460" s="29"/>
      <c r="N460" s="29"/>
    </row>
    <row r="461" spans="1:14" ht="31.5" customHeight="1">
      <c r="A461" s="29"/>
      <c r="B461" s="29"/>
      <c r="C461" s="29" t="str">
        <f>A461&amp;B461</f>
        <v/>
      </c>
      <c r="D461" s="30">
        <f>VLOOKUP($C461,Asignaturas!$C$5:$D$261,2,0)</f>
        <v>0</v>
      </c>
      <c r="E461" s="95"/>
      <c r="F461" s="23"/>
      <c r="G461" s="31"/>
      <c r="H461" s="31"/>
      <c r="I461" s="23"/>
      <c r="J461" s="36">
        <f>+Tabla2[[#This Row],[DÍA DE ENTREGA]]+8</f>
        <v>8</v>
      </c>
      <c r="K461" s="23"/>
      <c r="L461" s="99"/>
      <c r="M461" s="29"/>
      <c r="N461" s="29"/>
    </row>
    <row r="462" spans="1:14" ht="31.5" customHeight="1">
      <c r="A462" s="29"/>
      <c r="B462" s="29"/>
      <c r="C462" s="29" t="str">
        <f>A462&amp;B462</f>
        <v/>
      </c>
      <c r="D462" s="30">
        <f>VLOOKUP($C462,Asignaturas!$C$5:$D$261,2,0)</f>
        <v>0</v>
      </c>
      <c r="E462" s="95"/>
      <c r="F462" s="23"/>
      <c r="G462" s="31"/>
      <c r="H462" s="31"/>
      <c r="I462" s="23"/>
      <c r="J462" s="36">
        <f>+Tabla2[[#This Row],[DÍA DE ENTREGA]]+8</f>
        <v>8</v>
      </c>
      <c r="K462" s="23"/>
      <c r="L462" s="99"/>
      <c r="M462" s="41"/>
      <c r="N462" s="29"/>
    </row>
    <row r="463" spans="1:14" ht="31.5" customHeight="1">
      <c r="A463" s="29"/>
      <c r="B463" s="29"/>
      <c r="C463" s="29" t="str">
        <f>A463&amp;B463</f>
        <v/>
      </c>
      <c r="D463" s="30">
        <f>VLOOKUP($C463,Asignaturas!$C$5:$D$261,2,0)</f>
        <v>0</v>
      </c>
      <c r="E463" s="95"/>
      <c r="F463" s="23"/>
      <c r="G463" s="31"/>
      <c r="H463" s="31"/>
      <c r="I463" s="23"/>
      <c r="J463" s="36">
        <f>+Tabla2[[#This Row],[DÍA DE ENTREGA]]+8</f>
        <v>8</v>
      </c>
      <c r="K463" s="23"/>
      <c r="L463" s="99"/>
      <c r="M463" s="41"/>
      <c r="N463" s="29"/>
    </row>
    <row r="464" spans="1:14" ht="31.5" customHeight="1">
      <c r="A464" s="29"/>
      <c r="B464" s="29"/>
      <c r="C464" s="29" t="str">
        <f>A464&amp;B464</f>
        <v/>
      </c>
      <c r="D464" s="30">
        <f>VLOOKUP($C464,Asignaturas!$C$5:$D$261,2,0)</f>
        <v>0</v>
      </c>
      <c r="E464" s="95"/>
      <c r="F464" s="23"/>
      <c r="G464" s="31"/>
      <c r="H464" s="31"/>
      <c r="I464" s="23"/>
      <c r="J464" s="36">
        <f>+Tabla2[[#This Row],[DÍA DE ENTREGA]]+8</f>
        <v>8</v>
      </c>
      <c r="K464" s="23"/>
      <c r="L464" s="99"/>
      <c r="M464" s="29"/>
      <c r="N464" s="29"/>
    </row>
    <row r="465" spans="1:14" ht="31.5" customHeight="1">
      <c r="A465" s="29"/>
      <c r="B465" s="29"/>
      <c r="C465" s="29" t="str">
        <f>A465&amp;B465</f>
        <v/>
      </c>
      <c r="D465" s="30">
        <f>VLOOKUP($C465,Asignaturas!$C$5:$D$261,2,0)</f>
        <v>0</v>
      </c>
      <c r="E465" s="95"/>
      <c r="F465" s="23"/>
      <c r="G465" s="31"/>
      <c r="H465" s="31"/>
      <c r="I465" s="23"/>
      <c r="J465" s="36">
        <f>+Tabla2[[#This Row],[DÍA DE ENTREGA]]+8</f>
        <v>8</v>
      </c>
      <c r="K465" s="23"/>
      <c r="L465" s="99"/>
      <c r="M465" s="29"/>
      <c r="N465" s="29"/>
    </row>
    <row r="466" spans="1:14" ht="31.5" customHeight="1">
      <c r="A466" s="29"/>
      <c r="B466" s="29"/>
      <c r="C466" s="29" t="str">
        <f>A466&amp;B466</f>
        <v/>
      </c>
      <c r="D466" s="30">
        <f>VLOOKUP($C466,Asignaturas!$C$5:$D$261,2,0)</f>
        <v>0</v>
      </c>
      <c r="E466" s="95"/>
      <c r="F466" s="23"/>
      <c r="G466" s="31"/>
      <c r="H466" s="31"/>
      <c r="I466" s="23"/>
      <c r="J466" s="36">
        <f>+Tabla2[[#This Row],[DÍA DE ENTREGA]]+8</f>
        <v>8</v>
      </c>
      <c r="K466" s="23"/>
      <c r="L466" s="99"/>
      <c r="M466" s="29"/>
      <c r="N466" s="29"/>
    </row>
    <row r="467" spans="1:14" ht="31.5" customHeight="1">
      <c r="A467" s="29"/>
      <c r="B467" s="29"/>
      <c r="C467" s="29" t="str">
        <f>A467&amp;B467</f>
        <v/>
      </c>
      <c r="D467" s="30">
        <f>VLOOKUP($C467,Asignaturas!$C$5:$D$261,2,0)</f>
        <v>0</v>
      </c>
      <c r="E467" s="95"/>
      <c r="F467" s="23"/>
      <c r="G467" s="31"/>
      <c r="H467" s="31"/>
      <c r="I467" s="23"/>
      <c r="J467" s="36">
        <f>+Tabla2[[#This Row],[DÍA DE ENTREGA]]+8</f>
        <v>8</v>
      </c>
      <c r="K467" s="23"/>
      <c r="L467" s="99"/>
      <c r="M467" s="29"/>
      <c r="N467" s="29"/>
    </row>
    <row r="468" spans="1:14" ht="31.5" customHeight="1">
      <c r="A468" s="29"/>
      <c r="B468" s="29"/>
      <c r="C468" s="29" t="str">
        <f>A468&amp;B468</f>
        <v/>
      </c>
      <c r="D468" s="30">
        <f>VLOOKUP($C468,Asignaturas!$C$5:$D$261,2,0)</f>
        <v>0</v>
      </c>
      <c r="E468" s="95"/>
      <c r="F468" s="23"/>
      <c r="G468" s="31"/>
      <c r="H468" s="31"/>
      <c r="I468" s="23"/>
      <c r="J468" s="36">
        <f>+Tabla2[[#This Row],[DÍA DE ENTREGA]]+8</f>
        <v>8</v>
      </c>
      <c r="K468" s="23"/>
      <c r="L468" s="99"/>
      <c r="M468" s="29"/>
      <c r="N468" s="29"/>
    </row>
    <row r="469" spans="1:14" ht="31.5" customHeight="1">
      <c r="A469" s="29"/>
      <c r="B469" s="29"/>
      <c r="C469" s="29" t="str">
        <f>A469&amp;B469</f>
        <v/>
      </c>
      <c r="D469" s="30">
        <f>VLOOKUP($C469,Asignaturas!$C$5:$D$261,2,0)</f>
        <v>0</v>
      </c>
      <c r="E469" s="95"/>
      <c r="F469" s="23"/>
      <c r="G469" s="31"/>
      <c r="H469" s="31"/>
      <c r="I469" s="23"/>
      <c r="J469" s="36">
        <f>+Tabla2[[#This Row],[DÍA DE ENTREGA]]+8</f>
        <v>8</v>
      </c>
      <c r="K469" s="23"/>
      <c r="L469" s="99"/>
      <c r="M469" s="29"/>
      <c r="N469" s="29"/>
    </row>
    <row r="470" spans="1:14" ht="31.5" customHeight="1">
      <c r="A470" s="29"/>
      <c r="B470" s="29"/>
      <c r="C470" s="29" t="str">
        <f>A470&amp;B470</f>
        <v/>
      </c>
      <c r="D470" s="30">
        <f>VLOOKUP($C470,Asignaturas!$C$5:$D$261,2,0)</f>
        <v>0</v>
      </c>
      <c r="E470" s="95"/>
      <c r="F470" s="23"/>
      <c r="G470" s="31"/>
      <c r="H470" s="31"/>
      <c r="I470" s="23"/>
      <c r="J470" s="36">
        <f>+Tabla2[[#This Row],[DÍA DE ENTREGA]]+8</f>
        <v>8</v>
      </c>
      <c r="K470" s="23"/>
      <c r="L470" s="99"/>
      <c r="M470" s="29"/>
      <c r="N470" s="29"/>
    </row>
    <row r="471" spans="1:14" ht="31.5" customHeight="1">
      <c r="A471" s="29"/>
      <c r="B471" s="29"/>
      <c r="C471" s="29" t="str">
        <f>A471&amp;B471</f>
        <v/>
      </c>
      <c r="D471" s="30">
        <f>VLOOKUP($C471,Asignaturas!$C$5:$D$261,2,0)</f>
        <v>0</v>
      </c>
      <c r="E471" s="95"/>
      <c r="F471" s="23"/>
      <c r="G471" s="31"/>
      <c r="H471" s="31"/>
      <c r="I471" s="23"/>
      <c r="J471" s="36">
        <f>+Tabla2[[#This Row],[DÍA DE ENTREGA]]+8</f>
        <v>8</v>
      </c>
      <c r="K471" s="23"/>
      <c r="L471" s="99"/>
      <c r="M471" s="29"/>
      <c r="N471" s="29"/>
    </row>
    <row r="472" spans="1:14" ht="31.5" customHeight="1">
      <c r="A472" s="29"/>
      <c r="B472" s="29"/>
      <c r="C472" s="29" t="str">
        <f>A472&amp;B472</f>
        <v/>
      </c>
      <c r="D472" s="30">
        <f>VLOOKUP($C472,Asignaturas!$C$5:$D$261,2,0)</f>
        <v>0</v>
      </c>
      <c r="E472" s="95"/>
      <c r="F472" s="23"/>
      <c r="G472" s="31"/>
      <c r="H472" s="31"/>
      <c r="I472" s="23"/>
      <c r="J472" s="36">
        <f>+Tabla2[[#This Row],[DÍA DE ENTREGA]]+8</f>
        <v>8</v>
      </c>
      <c r="K472" s="23"/>
      <c r="L472" s="99"/>
      <c r="M472" s="29"/>
      <c r="N472" s="29"/>
    </row>
    <row r="473" spans="1:14" ht="31.5" customHeight="1">
      <c r="A473" s="29"/>
      <c r="B473" s="29"/>
      <c r="C473" s="29" t="str">
        <f>A473&amp;B473</f>
        <v/>
      </c>
      <c r="D473" s="30">
        <f>VLOOKUP($C473,Asignaturas!$C$5:$D$261,2,0)</f>
        <v>0</v>
      </c>
      <c r="E473" s="95"/>
      <c r="F473" s="23"/>
      <c r="G473" s="31"/>
      <c r="H473" s="31"/>
      <c r="I473" s="23"/>
      <c r="J473" s="36">
        <f>+Tabla2[[#This Row],[DÍA DE ENTREGA]]+8</f>
        <v>8</v>
      </c>
      <c r="K473" s="23"/>
      <c r="L473" s="99"/>
      <c r="M473" s="29"/>
      <c r="N473" s="29"/>
    </row>
    <row r="474" spans="1:14" ht="31.5" customHeight="1">
      <c r="A474" s="29"/>
      <c r="B474" s="29"/>
      <c r="C474" s="29" t="str">
        <f>A474&amp;B474</f>
        <v/>
      </c>
      <c r="D474" s="30">
        <f>VLOOKUP($C474,Asignaturas!$C$5:$D$261,2,0)</f>
        <v>0</v>
      </c>
      <c r="E474" s="95"/>
      <c r="F474" s="23"/>
      <c r="G474" s="31"/>
      <c r="H474" s="31"/>
      <c r="I474" s="23"/>
      <c r="J474" s="36">
        <f>+Tabla2[[#This Row],[DÍA DE ENTREGA]]+8</f>
        <v>8</v>
      </c>
      <c r="K474" s="23"/>
      <c r="L474" s="99"/>
      <c r="M474" s="29"/>
      <c r="N474" s="29"/>
    </row>
    <row r="475" spans="1:14" ht="31.5" customHeight="1">
      <c r="A475" s="29"/>
      <c r="B475" s="29"/>
      <c r="C475" s="29" t="str">
        <f>A475&amp;B475</f>
        <v/>
      </c>
      <c r="D475" s="30">
        <f>VLOOKUP($C475,Asignaturas!$C$5:$D$261,2,0)</f>
        <v>0</v>
      </c>
      <c r="E475" s="95"/>
      <c r="F475" s="23"/>
      <c r="G475" s="31"/>
      <c r="H475" s="31"/>
      <c r="I475" s="23"/>
      <c r="J475" s="36">
        <f>+Tabla2[[#This Row],[DÍA DE ENTREGA]]+8</f>
        <v>8</v>
      </c>
      <c r="K475" s="23"/>
      <c r="L475" s="99"/>
      <c r="M475" s="29"/>
      <c r="N475" s="29"/>
    </row>
    <row r="476" spans="1:14" ht="31.5" customHeight="1">
      <c r="A476" s="29"/>
      <c r="B476" s="29"/>
      <c r="C476" s="29" t="str">
        <f>A476&amp;B476</f>
        <v/>
      </c>
      <c r="D476" s="30">
        <f>VLOOKUP($C476,Asignaturas!$C$5:$D$261,2,0)</f>
        <v>0</v>
      </c>
      <c r="E476" s="95"/>
      <c r="F476" s="23"/>
      <c r="G476" s="31"/>
      <c r="H476" s="31"/>
      <c r="I476" s="23"/>
      <c r="J476" s="36">
        <f>+Tabla2[[#This Row],[DÍA DE ENTREGA]]+8</f>
        <v>8</v>
      </c>
      <c r="K476" s="23"/>
      <c r="L476" s="99"/>
      <c r="M476" s="29"/>
      <c r="N476" s="29"/>
    </row>
    <row r="477" spans="1:14" ht="31.5" customHeight="1">
      <c r="A477" s="29"/>
      <c r="B477" s="29"/>
      <c r="C477" s="29" t="str">
        <f>A477&amp;B477</f>
        <v/>
      </c>
      <c r="D477" s="30">
        <f>VLOOKUP($C477,Asignaturas!$C$5:$D$261,2,0)</f>
        <v>0</v>
      </c>
      <c r="E477" s="95"/>
      <c r="F477" s="23"/>
      <c r="G477" s="31"/>
      <c r="H477" s="31"/>
      <c r="I477" s="23"/>
      <c r="J477" s="36">
        <f>+Tabla2[[#This Row],[DÍA DE ENTREGA]]+8</f>
        <v>8</v>
      </c>
      <c r="K477" s="23"/>
      <c r="L477" s="99"/>
      <c r="M477" s="29"/>
      <c r="N477" s="29"/>
    </row>
    <row r="478" spans="1:14" ht="31.5" customHeight="1">
      <c r="A478" s="29"/>
      <c r="B478" s="29"/>
      <c r="C478" s="29" t="str">
        <f>A478&amp;B478</f>
        <v/>
      </c>
      <c r="D478" s="30">
        <f>VLOOKUP($C478,Asignaturas!$C$5:$D$261,2,0)</f>
        <v>0</v>
      </c>
      <c r="E478" s="95"/>
      <c r="F478" s="23"/>
      <c r="G478" s="31"/>
      <c r="H478" s="31"/>
      <c r="I478" s="23"/>
      <c r="J478" s="36">
        <f>+Tabla2[[#This Row],[DÍA DE ENTREGA]]+8</f>
        <v>8</v>
      </c>
      <c r="K478" s="23"/>
      <c r="L478" s="99"/>
      <c r="M478" s="29"/>
      <c r="N478" s="29"/>
    </row>
    <row r="479" spans="1:14" ht="31.5" customHeight="1">
      <c r="A479" s="29"/>
      <c r="B479" s="29"/>
      <c r="C479" s="29" t="str">
        <f>A479&amp;B479</f>
        <v/>
      </c>
      <c r="D479" s="30">
        <f>VLOOKUP($C479,Asignaturas!$C$5:$D$261,2,0)</f>
        <v>0</v>
      </c>
      <c r="E479" s="95"/>
      <c r="F479" s="23"/>
      <c r="G479" s="31"/>
      <c r="H479" s="31"/>
      <c r="I479" s="23"/>
      <c r="J479" s="36">
        <f>+Tabla2[[#This Row],[DÍA DE ENTREGA]]+8</f>
        <v>8</v>
      </c>
      <c r="K479" s="23"/>
      <c r="L479" s="99"/>
      <c r="M479" s="29"/>
      <c r="N479" s="29"/>
    </row>
    <row r="480" spans="1:14" ht="31.5" customHeight="1">
      <c r="A480" s="29"/>
      <c r="B480" s="29"/>
      <c r="C480" s="29" t="str">
        <f>A480&amp;B480</f>
        <v/>
      </c>
      <c r="D480" s="30">
        <f>VLOOKUP($C480,Asignaturas!$C$5:$D$261,2,0)</f>
        <v>0</v>
      </c>
      <c r="E480" s="95"/>
      <c r="F480" s="23"/>
      <c r="G480" s="31"/>
      <c r="H480" s="31"/>
      <c r="I480" s="23"/>
      <c r="J480" s="36">
        <f>+Tabla2[[#This Row],[DÍA DE ENTREGA]]+8</f>
        <v>8</v>
      </c>
      <c r="K480" s="23"/>
      <c r="L480" s="99"/>
      <c r="M480" s="29"/>
      <c r="N480" s="29"/>
    </row>
    <row r="481" spans="1:14" ht="31.5" customHeight="1">
      <c r="A481" s="29"/>
      <c r="B481" s="29"/>
      <c r="C481" s="29" t="str">
        <f>A481&amp;B481</f>
        <v/>
      </c>
      <c r="D481" s="30">
        <f>VLOOKUP($C481,Asignaturas!$C$5:$D$261,2,0)</f>
        <v>0</v>
      </c>
      <c r="E481" s="95"/>
      <c r="F481" s="23"/>
      <c r="G481" s="31"/>
      <c r="H481" s="31"/>
      <c r="I481" s="23"/>
      <c r="J481" s="36">
        <f>+Tabla2[[#This Row],[DÍA DE ENTREGA]]+8</f>
        <v>8</v>
      </c>
      <c r="K481" s="23"/>
      <c r="L481" s="99"/>
      <c r="M481" s="29"/>
      <c r="N481" s="29"/>
    </row>
    <row r="482" spans="1:14" ht="31.5" customHeight="1">
      <c r="A482" s="29"/>
      <c r="B482" s="29"/>
      <c r="C482" s="29" t="str">
        <f>A482&amp;B482</f>
        <v/>
      </c>
      <c r="D482" s="30">
        <f>VLOOKUP($C482,Asignaturas!$C$5:$D$261,2,0)</f>
        <v>0</v>
      </c>
      <c r="E482" s="95"/>
      <c r="F482" s="23"/>
      <c r="G482" s="31"/>
      <c r="H482" s="31"/>
      <c r="I482" s="23"/>
      <c r="J482" s="36">
        <f>+Tabla2[[#This Row],[DÍA DE ENTREGA]]+8</f>
        <v>8</v>
      </c>
      <c r="K482" s="23"/>
      <c r="L482" s="99"/>
      <c r="M482" s="29"/>
      <c r="N482" s="29"/>
    </row>
    <row r="483" spans="1:14" ht="31.5" customHeight="1">
      <c r="A483" s="29"/>
      <c r="B483" s="29"/>
      <c r="C483" s="29" t="str">
        <f>A483&amp;B483</f>
        <v/>
      </c>
      <c r="D483" s="30">
        <f>VLOOKUP($C483,Asignaturas!$C$5:$D$261,2,0)</f>
        <v>0</v>
      </c>
      <c r="E483" s="95"/>
      <c r="F483" s="23"/>
      <c r="G483" s="31"/>
      <c r="H483" s="31"/>
      <c r="I483" s="23"/>
      <c r="J483" s="36">
        <f>+Tabla2[[#This Row],[DÍA DE ENTREGA]]+8</f>
        <v>8</v>
      </c>
      <c r="K483" s="23"/>
      <c r="L483" s="99"/>
      <c r="M483" s="29"/>
      <c r="N483" s="29"/>
    </row>
    <row r="484" spans="1:14" ht="31.5" customHeight="1">
      <c r="A484" s="29"/>
      <c r="B484" s="29"/>
      <c r="C484" s="29" t="str">
        <f>A484&amp;B484</f>
        <v/>
      </c>
      <c r="D484" s="30">
        <f>VLOOKUP($C484,Asignaturas!$C$5:$D$261,2,0)</f>
        <v>0</v>
      </c>
      <c r="E484" s="95"/>
      <c r="F484" s="23"/>
      <c r="G484" s="31"/>
      <c r="H484" s="31"/>
      <c r="I484" s="23"/>
      <c r="J484" s="36">
        <f>+Tabla2[[#This Row],[DÍA DE ENTREGA]]+8</f>
        <v>8</v>
      </c>
      <c r="K484" s="23"/>
      <c r="L484" s="99"/>
      <c r="M484" s="29"/>
      <c r="N484" s="29"/>
    </row>
    <row r="485" spans="1:14" ht="31.5" customHeight="1">
      <c r="A485" s="29"/>
      <c r="B485" s="29"/>
      <c r="C485" s="29" t="str">
        <f>A485&amp;B485</f>
        <v/>
      </c>
      <c r="D485" s="30">
        <f>VLOOKUP($C485,Asignaturas!$C$5:$D$261,2,0)</f>
        <v>0</v>
      </c>
      <c r="E485" s="95"/>
      <c r="F485" s="23"/>
      <c r="G485" s="31"/>
      <c r="H485" s="31"/>
      <c r="I485" s="23"/>
      <c r="J485" s="36">
        <f>+Tabla2[[#This Row],[DÍA DE ENTREGA]]+8</f>
        <v>8</v>
      </c>
      <c r="K485" s="23"/>
      <c r="L485" s="99"/>
      <c r="M485" s="29"/>
      <c r="N485" s="29"/>
    </row>
    <row r="486" spans="1:14" ht="31.5" customHeight="1">
      <c r="A486" s="29"/>
      <c r="B486" s="29"/>
      <c r="C486" s="29" t="str">
        <f>A486&amp;B486</f>
        <v/>
      </c>
      <c r="D486" s="30">
        <f>VLOOKUP($C486,Asignaturas!$C$5:$D$261,2,0)</f>
        <v>0</v>
      </c>
      <c r="E486" s="95"/>
      <c r="F486" s="23"/>
      <c r="G486" s="31"/>
      <c r="H486" s="31"/>
      <c r="I486" s="23"/>
      <c r="J486" s="36">
        <f>+Tabla2[[#This Row],[DÍA DE ENTREGA]]+8</f>
        <v>8</v>
      </c>
      <c r="K486" s="23"/>
      <c r="L486" s="99"/>
      <c r="M486" s="41"/>
      <c r="N486" s="29"/>
    </row>
    <row r="487" spans="1:14" ht="31.5" customHeight="1">
      <c r="A487" s="29"/>
      <c r="B487" s="29"/>
      <c r="C487" s="29" t="str">
        <f>A487&amp;B487</f>
        <v/>
      </c>
      <c r="D487" s="30">
        <f>VLOOKUP($C487,Asignaturas!$C$5:$D$261,2,0)</f>
        <v>0</v>
      </c>
      <c r="E487" s="95"/>
      <c r="F487" s="23"/>
      <c r="G487" s="31"/>
      <c r="H487" s="31"/>
      <c r="I487" s="23"/>
      <c r="J487" s="36">
        <f>+Tabla2[[#This Row],[DÍA DE ENTREGA]]+8</f>
        <v>8</v>
      </c>
      <c r="K487" s="23"/>
      <c r="L487" s="99"/>
      <c r="M487" s="29"/>
      <c r="N487" s="29"/>
    </row>
    <row r="488" spans="1:14" ht="31.5" customHeight="1">
      <c r="A488" s="29"/>
      <c r="B488" s="29"/>
      <c r="C488" s="29" t="str">
        <f>A488&amp;B488</f>
        <v/>
      </c>
      <c r="D488" s="30">
        <f>VLOOKUP($C488,Asignaturas!$C$5:$D$261,2,0)</f>
        <v>0</v>
      </c>
      <c r="E488" s="95"/>
      <c r="F488" s="23"/>
      <c r="G488" s="31"/>
      <c r="H488" s="31"/>
      <c r="I488" s="23"/>
      <c r="J488" s="36">
        <f>+Tabla2[[#This Row],[DÍA DE ENTREGA]]+8</f>
        <v>8</v>
      </c>
      <c r="K488" s="23"/>
      <c r="L488" s="99"/>
      <c r="M488" s="29"/>
      <c r="N488" s="29"/>
    </row>
    <row r="489" spans="1:14" ht="31.5" customHeight="1">
      <c r="A489" s="29"/>
      <c r="B489" s="29"/>
      <c r="C489" s="29" t="str">
        <f>A489&amp;B489</f>
        <v/>
      </c>
      <c r="D489" s="30">
        <f>VLOOKUP($C489,Asignaturas!$C$5:$D$261,2,0)</f>
        <v>0</v>
      </c>
      <c r="E489" s="95"/>
      <c r="F489" s="23"/>
      <c r="G489" s="31"/>
      <c r="H489" s="31"/>
      <c r="I489" s="23"/>
      <c r="J489" s="36">
        <f>+Tabla2[[#This Row],[DÍA DE ENTREGA]]+8</f>
        <v>8</v>
      </c>
      <c r="K489" s="23"/>
      <c r="L489" s="99"/>
      <c r="M489" s="29"/>
      <c r="N489" s="29"/>
    </row>
    <row r="490" spans="1:14" ht="31.5" customHeight="1">
      <c r="A490" s="29"/>
      <c r="B490" s="29"/>
      <c r="C490" s="29" t="str">
        <f>A490&amp;B490</f>
        <v/>
      </c>
      <c r="D490" s="30">
        <f>VLOOKUP($C490,Asignaturas!$C$5:$D$261,2,0)</f>
        <v>0</v>
      </c>
      <c r="E490" s="95"/>
      <c r="F490" s="23"/>
      <c r="G490" s="31"/>
      <c r="H490" s="31"/>
      <c r="I490" s="23"/>
      <c r="J490" s="36">
        <f>+Tabla2[[#This Row],[DÍA DE ENTREGA]]+8</f>
        <v>8</v>
      </c>
      <c r="K490" s="23"/>
      <c r="L490" s="99"/>
      <c r="M490" s="29"/>
      <c r="N490" s="29"/>
    </row>
    <row r="491" spans="1:14" ht="31.5" customHeight="1">
      <c r="A491" s="29"/>
      <c r="B491" s="29"/>
      <c r="C491" s="29" t="str">
        <f>A491&amp;B491</f>
        <v/>
      </c>
      <c r="D491" s="30">
        <f>VLOOKUP($C491,Asignaturas!$C$5:$D$261,2,0)</f>
        <v>0</v>
      </c>
      <c r="E491" s="95"/>
      <c r="F491" s="23"/>
      <c r="G491" s="31"/>
      <c r="H491" s="31"/>
      <c r="I491" s="23"/>
      <c r="J491" s="36">
        <f>+Tabla2[[#This Row],[DÍA DE ENTREGA]]+8</f>
        <v>8</v>
      </c>
      <c r="K491" s="23"/>
      <c r="L491" s="99"/>
      <c r="M491" s="29"/>
      <c r="N491" s="29"/>
    </row>
    <row r="492" spans="1:14" ht="31.5" customHeight="1">
      <c r="A492" s="29"/>
      <c r="B492" s="29"/>
      <c r="C492" s="29" t="str">
        <f>A492&amp;B492</f>
        <v/>
      </c>
      <c r="D492" s="30">
        <f>VLOOKUP($C492,Asignaturas!$C$5:$D$261,2,0)</f>
        <v>0</v>
      </c>
      <c r="E492" s="95"/>
      <c r="F492" s="23"/>
      <c r="G492" s="31"/>
      <c r="H492" s="31"/>
      <c r="I492" s="23"/>
      <c r="J492" s="36">
        <f>+Tabla2[[#This Row],[DÍA DE ENTREGA]]+8</f>
        <v>8</v>
      </c>
      <c r="K492" s="23"/>
      <c r="L492" s="23"/>
      <c r="M492" s="65"/>
      <c r="N492" s="29"/>
    </row>
    <row r="493" spans="1:14" ht="31.5" customHeight="1">
      <c r="A493" s="29"/>
      <c r="B493" s="29"/>
      <c r="C493" s="29" t="str">
        <f>A493&amp;B493</f>
        <v/>
      </c>
      <c r="D493" s="30">
        <f>VLOOKUP($C493,Asignaturas!$C$5:$D$261,2,0)</f>
        <v>0</v>
      </c>
      <c r="E493" s="56"/>
      <c r="F493" s="23"/>
      <c r="G493" s="31"/>
      <c r="H493" s="31"/>
      <c r="I493" s="23"/>
      <c r="J493" s="36">
        <f>+Tabla2[[#This Row],[DÍA DE ENTREGA]]+8</f>
        <v>8</v>
      </c>
      <c r="K493" s="23"/>
      <c r="L493" s="23"/>
      <c r="M493" s="29"/>
      <c r="N493" s="29"/>
    </row>
    <row r="494" spans="1:14" ht="31.5" customHeight="1">
      <c r="A494" s="29"/>
      <c r="B494" s="29"/>
      <c r="C494" s="29" t="str">
        <f>A494&amp;B494</f>
        <v/>
      </c>
      <c r="D494" s="30">
        <f>VLOOKUP($C494,Asignaturas!$C$5:$D$261,2,0)</f>
        <v>0</v>
      </c>
      <c r="E494" s="56"/>
      <c r="F494" s="23"/>
      <c r="G494" s="31"/>
      <c r="H494" s="31"/>
      <c r="I494" s="23"/>
      <c r="J494" s="36">
        <f>+Tabla2[[#This Row],[DÍA DE ENTREGA]]+8</f>
        <v>8</v>
      </c>
      <c r="K494" s="23"/>
      <c r="L494" s="102"/>
      <c r="M494" s="29"/>
      <c r="N494" s="29"/>
    </row>
    <row r="495" spans="1:14" ht="31.5" customHeight="1">
      <c r="A495" s="29"/>
      <c r="B495" s="29"/>
      <c r="C495" s="29" t="str">
        <f>A495&amp;B495</f>
        <v/>
      </c>
      <c r="D495" s="30">
        <f>VLOOKUP($C495,Asignaturas!$C$5:$D$261,2,0)</f>
        <v>0</v>
      </c>
      <c r="E495" s="95"/>
      <c r="F495" s="23"/>
      <c r="G495" s="31"/>
      <c r="H495" s="31"/>
      <c r="I495" s="23"/>
      <c r="J495" s="36">
        <f>+Tabla2[[#This Row],[DÍA DE ENTREGA]]+8</f>
        <v>8</v>
      </c>
      <c r="K495" s="23"/>
      <c r="L495" s="100"/>
      <c r="M495" s="29"/>
      <c r="N495" s="29"/>
    </row>
    <row r="496" spans="1:14" ht="31.5" customHeight="1">
      <c r="A496" s="29"/>
      <c r="B496" s="29"/>
      <c r="C496" s="29" t="str">
        <f>A496&amp;B496</f>
        <v/>
      </c>
      <c r="D496" s="30">
        <f>VLOOKUP($C496,Asignaturas!$C$5:$D$261,2,0)</f>
        <v>0</v>
      </c>
      <c r="E496" s="95"/>
      <c r="F496" s="23"/>
      <c r="G496" s="31"/>
      <c r="H496" s="31"/>
      <c r="I496" s="23"/>
      <c r="J496" s="36">
        <f>+Tabla2[[#This Row],[DÍA DE ENTREGA]]+8</f>
        <v>8</v>
      </c>
      <c r="K496" s="23"/>
      <c r="L496" s="99"/>
      <c r="M496" s="29"/>
      <c r="N496" s="29"/>
    </row>
    <row r="497" spans="1:14" ht="31.5" customHeight="1">
      <c r="A497" s="29"/>
      <c r="B497" s="29"/>
      <c r="C497" s="29" t="str">
        <f>A497&amp;B497</f>
        <v/>
      </c>
      <c r="D497" s="30">
        <f>VLOOKUP($C497,Asignaturas!$C$5:$D$261,2,0)</f>
        <v>0</v>
      </c>
      <c r="E497" s="95"/>
      <c r="F497" s="23"/>
      <c r="G497" s="31"/>
      <c r="H497" s="31"/>
      <c r="I497" s="23"/>
      <c r="J497" s="36">
        <f>+Tabla2[[#This Row],[DÍA DE ENTREGA]]+8</f>
        <v>8</v>
      </c>
      <c r="K497" s="23"/>
      <c r="L497" s="99"/>
      <c r="M497" s="29"/>
      <c r="N497" s="29"/>
    </row>
    <row r="498" spans="1:14" ht="31.5" customHeight="1">
      <c r="A498" s="29"/>
      <c r="B498" s="29"/>
      <c r="C498" s="29" t="str">
        <f>A498&amp;B498</f>
        <v/>
      </c>
      <c r="D498" s="30">
        <f>VLOOKUP($C498,Asignaturas!$C$5:$D$261,2,0)</f>
        <v>0</v>
      </c>
      <c r="E498" s="95"/>
      <c r="F498" s="23"/>
      <c r="G498" s="31"/>
      <c r="H498" s="31"/>
      <c r="I498" s="23"/>
      <c r="J498" s="36">
        <f>+Tabla2[[#This Row],[DÍA DE ENTREGA]]+8</f>
        <v>8</v>
      </c>
      <c r="K498" s="23"/>
      <c r="L498" s="99"/>
      <c r="M498" s="65"/>
      <c r="N498" s="29"/>
    </row>
    <row r="499" spans="1:14" ht="31.5" customHeight="1">
      <c r="A499" s="29"/>
      <c r="B499" s="29"/>
      <c r="C499" s="29" t="str">
        <f>A499&amp;B499</f>
        <v/>
      </c>
      <c r="D499" s="30">
        <f>VLOOKUP($C499,Asignaturas!$C$5:$D$261,2,0)</f>
        <v>0</v>
      </c>
      <c r="E499" s="95"/>
      <c r="F499" s="23"/>
      <c r="G499" s="31"/>
      <c r="H499" s="31"/>
      <c r="I499" s="23"/>
      <c r="J499" s="36">
        <f>+Tabla2[[#This Row],[DÍA DE ENTREGA]]+8</f>
        <v>8</v>
      </c>
      <c r="K499" s="23"/>
      <c r="L499" s="99"/>
      <c r="M499" s="65"/>
      <c r="N499" s="29"/>
    </row>
    <row r="500" spans="1:14" ht="31.5" customHeight="1">
      <c r="A500" s="29"/>
      <c r="B500" s="29"/>
      <c r="C500" s="29" t="str">
        <f>A500&amp;B500</f>
        <v/>
      </c>
      <c r="D500" s="30">
        <f>VLOOKUP($C500,Asignaturas!$C$5:$D$261,2,0)</f>
        <v>0</v>
      </c>
      <c r="E500" s="95"/>
      <c r="F500" s="23"/>
      <c r="G500" s="31"/>
      <c r="H500" s="31"/>
      <c r="I500" s="23"/>
      <c r="J500" s="36">
        <f>+Tabla2[[#This Row],[DÍA DE ENTREGA]]+8</f>
        <v>8</v>
      </c>
      <c r="K500" s="23"/>
      <c r="L500" s="99"/>
      <c r="M500" s="65"/>
      <c r="N500" s="29"/>
    </row>
    <row r="501" spans="1:14" ht="31.5" customHeight="1">
      <c r="A501" s="29"/>
      <c r="B501" s="29"/>
      <c r="C501" s="29" t="str">
        <f>A501&amp;B501</f>
        <v/>
      </c>
      <c r="D501" s="30">
        <f>VLOOKUP($C501,Asignaturas!$C$5:$D$261,2,0)</f>
        <v>0</v>
      </c>
      <c r="E501" s="95"/>
      <c r="F501" s="23"/>
      <c r="G501" s="31"/>
      <c r="H501" s="31"/>
      <c r="I501" s="23"/>
      <c r="J501" s="36">
        <f>+Tabla2[[#This Row],[DÍA DE ENTREGA]]+8</f>
        <v>8</v>
      </c>
      <c r="K501" s="23"/>
      <c r="L501" s="99"/>
      <c r="M501" s="65"/>
      <c r="N501" s="29"/>
    </row>
    <row r="502" spans="1:14" ht="31.5" customHeight="1">
      <c r="A502" s="29"/>
      <c r="B502" s="29"/>
      <c r="C502" s="29" t="str">
        <f>A502&amp;B502</f>
        <v/>
      </c>
      <c r="D502" s="30">
        <f>VLOOKUP($C502,Asignaturas!$C$5:$D$261,2,0)</f>
        <v>0</v>
      </c>
      <c r="E502" s="95"/>
      <c r="F502" s="23"/>
      <c r="G502" s="31"/>
      <c r="H502" s="31"/>
      <c r="I502" s="23"/>
      <c r="J502" s="36">
        <f>+Tabla2[[#This Row],[DÍA DE ENTREGA]]+8</f>
        <v>8</v>
      </c>
      <c r="K502" s="23"/>
      <c r="L502" s="99"/>
      <c r="M502" s="29"/>
      <c r="N502" s="29"/>
    </row>
    <row r="503" spans="1:14" ht="31.5" customHeight="1">
      <c r="A503" s="29"/>
      <c r="B503" s="29"/>
      <c r="C503" s="29" t="str">
        <f>A503&amp;B503</f>
        <v/>
      </c>
      <c r="D503" s="30">
        <f>VLOOKUP($C503,Asignaturas!$C$5:$D$261,2,0)</f>
        <v>0</v>
      </c>
      <c r="E503" s="95"/>
      <c r="F503" s="23"/>
      <c r="G503" s="31"/>
      <c r="H503" s="31"/>
      <c r="I503" s="23"/>
      <c r="J503" s="36">
        <f>+Tabla2[[#This Row],[DÍA DE ENTREGA]]+8</f>
        <v>8</v>
      </c>
      <c r="K503" s="23"/>
      <c r="L503" s="99"/>
      <c r="M503" s="44"/>
      <c r="N503" s="29"/>
    </row>
    <row r="504" spans="1:14" ht="31.5" customHeight="1">
      <c r="A504" s="29"/>
      <c r="B504" s="29"/>
      <c r="C504" s="29" t="str">
        <f>A504&amp;B504</f>
        <v/>
      </c>
      <c r="D504" s="30">
        <f>VLOOKUP($C504,Asignaturas!$C$5:$D$261,2,0)</f>
        <v>0</v>
      </c>
      <c r="E504" s="95"/>
      <c r="F504" s="23"/>
      <c r="G504" s="31"/>
      <c r="H504" s="31"/>
      <c r="I504" s="23"/>
      <c r="J504" s="36">
        <f>+Tabla2[[#This Row],[DÍA DE ENTREGA]]+8</f>
        <v>8</v>
      </c>
      <c r="K504" s="23"/>
      <c r="L504" s="99"/>
      <c r="M504" s="29"/>
      <c r="N504" s="29"/>
    </row>
    <row r="505" spans="1:14" ht="31.5" customHeight="1">
      <c r="A505" s="29"/>
      <c r="B505" s="29"/>
      <c r="C505" s="29" t="str">
        <f>A505&amp;B505</f>
        <v/>
      </c>
      <c r="D505" s="30">
        <f>VLOOKUP($C505,Asignaturas!$C$5:$D$261,2,0)</f>
        <v>0</v>
      </c>
      <c r="E505" s="95"/>
      <c r="F505" s="23"/>
      <c r="G505" s="31"/>
      <c r="H505" s="31"/>
      <c r="I505" s="23"/>
      <c r="J505" s="36">
        <f>+Tabla2[[#This Row],[DÍA DE ENTREGA]]+8</f>
        <v>8</v>
      </c>
      <c r="K505" s="23"/>
      <c r="L505" s="99"/>
      <c r="M505" s="29"/>
      <c r="N505" s="29"/>
    </row>
    <row r="506" spans="1:14" ht="31.5" customHeight="1">
      <c r="A506" s="29"/>
      <c r="B506" s="29"/>
      <c r="C506" s="29" t="str">
        <f>A506&amp;B506</f>
        <v/>
      </c>
      <c r="D506" s="30">
        <f>VLOOKUP($C506,Asignaturas!$C$5:$D$261,2,0)</f>
        <v>0</v>
      </c>
      <c r="E506" s="95"/>
      <c r="F506" s="23"/>
      <c r="G506" s="31"/>
      <c r="H506" s="31"/>
      <c r="I506" s="23"/>
      <c r="J506" s="36">
        <f>+Tabla2[[#This Row],[DÍA DE ENTREGA]]+8</f>
        <v>8</v>
      </c>
      <c r="K506" s="23"/>
      <c r="L506" s="99"/>
      <c r="M506" s="29"/>
      <c r="N506" s="29"/>
    </row>
    <row r="507" spans="1:14" ht="31.5" customHeight="1">
      <c r="A507" s="29"/>
      <c r="B507" s="29"/>
      <c r="C507" s="29" t="str">
        <f>A507&amp;B507</f>
        <v/>
      </c>
      <c r="D507" s="30">
        <f>VLOOKUP($C507,Asignaturas!$C$5:$D$261,2,0)</f>
        <v>0</v>
      </c>
      <c r="E507" s="95"/>
      <c r="F507" s="23"/>
      <c r="G507" s="31"/>
      <c r="H507" s="31"/>
      <c r="I507" s="23"/>
      <c r="J507" s="36">
        <f>+Tabla2[[#This Row],[DÍA DE ENTREGA]]+8</f>
        <v>8</v>
      </c>
      <c r="K507" s="23"/>
      <c r="L507" s="99"/>
      <c r="M507" s="29"/>
      <c r="N507" s="29"/>
    </row>
    <row r="508" spans="1:14" ht="31.5" customHeight="1">
      <c r="A508" s="29"/>
      <c r="B508" s="29"/>
      <c r="C508" s="29" t="str">
        <f>A508&amp;B508</f>
        <v/>
      </c>
      <c r="D508" s="30">
        <f>VLOOKUP($C508,Asignaturas!$C$5:$D$261,2,0)</f>
        <v>0</v>
      </c>
      <c r="E508" s="95"/>
      <c r="F508" s="23"/>
      <c r="G508" s="31"/>
      <c r="H508" s="31"/>
      <c r="I508" s="23"/>
      <c r="J508" s="36">
        <f>+Tabla2[[#This Row],[DÍA DE ENTREGA]]+8</f>
        <v>8</v>
      </c>
      <c r="K508" s="23"/>
      <c r="L508" s="100"/>
      <c r="M508" s="29"/>
      <c r="N508" s="29"/>
    </row>
    <row r="509" spans="1:14" ht="31.5" customHeight="1">
      <c r="A509" s="29"/>
      <c r="B509" s="29"/>
      <c r="C509" s="29" t="str">
        <f>A509&amp;B509</f>
        <v/>
      </c>
      <c r="D509" s="30">
        <f>VLOOKUP($C509,Asignaturas!$C$5:$D$261,2,0)</f>
        <v>0</v>
      </c>
      <c r="E509" s="95"/>
      <c r="F509" s="23"/>
      <c r="G509" s="31"/>
      <c r="H509" s="31"/>
      <c r="I509" s="23"/>
      <c r="J509" s="36">
        <f>+Tabla2[[#This Row],[DÍA DE ENTREGA]]+8</f>
        <v>8</v>
      </c>
      <c r="K509" s="23"/>
      <c r="L509" s="99"/>
      <c r="M509" s="29"/>
      <c r="N509" s="29"/>
    </row>
    <row r="510" spans="1:14" ht="31.5" customHeight="1">
      <c r="A510" s="29"/>
      <c r="B510" s="29"/>
      <c r="C510" s="29" t="str">
        <f>A510&amp;B510</f>
        <v/>
      </c>
      <c r="D510" s="30">
        <f>VLOOKUP($C510,Asignaturas!$C$5:$D$261,2,0)</f>
        <v>0</v>
      </c>
      <c r="E510" s="95"/>
      <c r="F510" s="23"/>
      <c r="G510" s="31"/>
      <c r="H510" s="31"/>
      <c r="I510" s="23"/>
      <c r="J510" s="36">
        <f>+Tabla2[[#This Row],[DÍA DE ENTREGA]]+8</f>
        <v>8</v>
      </c>
      <c r="K510" s="23"/>
      <c r="L510" s="99"/>
      <c r="M510" s="29"/>
      <c r="N510" s="29"/>
    </row>
    <row r="511" spans="1:14" ht="31.5" customHeight="1">
      <c r="A511" s="29"/>
      <c r="B511" s="29"/>
      <c r="C511" s="29" t="str">
        <f>A511&amp;B511</f>
        <v/>
      </c>
      <c r="D511" s="30">
        <f>VLOOKUP($C511,Asignaturas!$C$5:$D$261,2,0)</f>
        <v>0</v>
      </c>
      <c r="E511" s="95"/>
      <c r="F511" s="23"/>
      <c r="G511" s="31"/>
      <c r="H511" s="31"/>
      <c r="I511" s="23"/>
      <c r="J511" s="36">
        <f>+Tabla2[[#This Row],[DÍA DE ENTREGA]]+8</f>
        <v>8</v>
      </c>
      <c r="K511" s="23"/>
      <c r="L511" s="99"/>
      <c r="M511" s="29"/>
      <c r="N511" s="29"/>
    </row>
    <row r="512" spans="1:14" ht="31.5" customHeight="1">
      <c r="A512" s="29"/>
      <c r="B512" s="29"/>
      <c r="C512" s="29" t="str">
        <f>A512&amp;B512</f>
        <v/>
      </c>
      <c r="D512" s="30">
        <f>VLOOKUP($C512,Asignaturas!$C$5:$D$261,2,0)</f>
        <v>0</v>
      </c>
      <c r="E512" s="95"/>
      <c r="F512" s="23"/>
      <c r="G512" s="31"/>
      <c r="H512" s="31"/>
      <c r="I512" s="23"/>
      <c r="J512" s="36">
        <f>+Tabla2[[#This Row],[DÍA DE ENTREGA]]+8</f>
        <v>8</v>
      </c>
      <c r="K512" s="23"/>
      <c r="L512" s="99"/>
      <c r="M512" s="29"/>
      <c r="N512" s="29"/>
    </row>
    <row r="513" spans="1:14" ht="31.5" customHeight="1">
      <c r="A513" s="29"/>
      <c r="B513" s="29"/>
      <c r="C513" s="29" t="str">
        <f>A513&amp;B513</f>
        <v/>
      </c>
      <c r="D513" s="30">
        <f>VLOOKUP($C513,Asignaturas!$C$5:$D$261,2,0)</f>
        <v>0</v>
      </c>
      <c r="E513" s="95"/>
      <c r="F513" s="23"/>
      <c r="G513" s="31"/>
      <c r="H513" s="31"/>
      <c r="I513" s="23"/>
      <c r="J513" s="36">
        <f>+Tabla2[[#This Row],[DÍA DE ENTREGA]]+8</f>
        <v>8</v>
      </c>
      <c r="K513" s="23"/>
      <c r="L513" s="99"/>
      <c r="M513" s="29"/>
      <c r="N513" s="29"/>
    </row>
    <row r="514" spans="1:14" ht="31.5" customHeight="1">
      <c r="A514" s="29"/>
      <c r="B514" s="29"/>
      <c r="C514" s="29" t="str">
        <f>A514&amp;B514</f>
        <v/>
      </c>
      <c r="D514" s="30">
        <f>VLOOKUP($C514,Asignaturas!$C$5:$D$261,2,0)</f>
        <v>0</v>
      </c>
      <c r="E514" s="95"/>
      <c r="F514" s="23"/>
      <c r="G514" s="31"/>
      <c r="H514" s="31"/>
      <c r="I514" s="23"/>
      <c r="J514" s="36">
        <f>+Tabla2[[#This Row],[DÍA DE ENTREGA]]+8</f>
        <v>8</v>
      </c>
      <c r="K514" s="23"/>
      <c r="L514" s="99"/>
      <c r="M514" s="29"/>
      <c r="N514" s="29"/>
    </row>
    <row r="515" spans="1:14" ht="31.5" customHeight="1">
      <c r="A515" s="29"/>
      <c r="B515" s="29"/>
      <c r="C515" s="29" t="str">
        <f>A515&amp;B515</f>
        <v/>
      </c>
      <c r="D515" s="30">
        <f>VLOOKUP($C515,Asignaturas!$C$5:$D$261,2,0)</f>
        <v>0</v>
      </c>
      <c r="E515" s="95"/>
      <c r="F515" s="23"/>
      <c r="G515" s="31"/>
      <c r="H515" s="31"/>
      <c r="I515" s="23"/>
      <c r="J515" s="36">
        <f>+Tabla2[[#This Row],[DÍA DE ENTREGA]]+8</f>
        <v>8</v>
      </c>
      <c r="K515" s="23"/>
      <c r="L515" s="99"/>
      <c r="M515" s="44"/>
      <c r="N515" s="29"/>
    </row>
    <row r="516" spans="1:14" ht="31.5" customHeight="1">
      <c r="A516" s="29"/>
      <c r="B516" s="29"/>
      <c r="C516" s="29" t="str">
        <f>A516&amp;B516</f>
        <v/>
      </c>
      <c r="D516" s="30">
        <f>VLOOKUP($C516,Asignaturas!$C$5:$D$261,2,0)</f>
        <v>0</v>
      </c>
      <c r="E516" s="95"/>
      <c r="F516" s="23"/>
      <c r="G516" s="31"/>
      <c r="H516" s="31"/>
      <c r="I516" s="23"/>
      <c r="J516" s="36">
        <f>+Tabla2[[#This Row],[DÍA DE ENTREGA]]+8</f>
        <v>8</v>
      </c>
      <c r="K516" s="23"/>
      <c r="L516" s="99"/>
      <c r="M516" s="29"/>
      <c r="N516" s="29"/>
    </row>
    <row r="517" spans="1:14" ht="31.5" customHeight="1">
      <c r="A517" s="29"/>
      <c r="B517" s="29"/>
      <c r="C517" s="29" t="str">
        <f>A517&amp;B517</f>
        <v/>
      </c>
      <c r="D517" s="30">
        <f>VLOOKUP($C517,Asignaturas!$C$5:$D$261,2,0)</f>
        <v>0</v>
      </c>
      <c r="E517" s="95"/>
      <c r="F517" s="23"/>
      <c r="G517" s="31"/>
      <c r="H517" s="31"/>
      <c r="I517" s="23"/>
      <c r="J517" s="36">
        <f>+Tabla2[[#This Row],[DÍA DE ENTREGA]]+8</f>
        <v>8</v>
      </c>
      <c r="K517" s="23"/>
      <c r="L517" s="100"/>
      <c r="M517" s="85"/>
      <c r="N517" s="29"/>
    </row>
    <row r="518" spans="1:14" ht="31.5" customHeight="1">
      <c r="A518" s="59"/>
      <c r="B518" s="59"/>
      <c r="C518" s="59" t="str">
        <f>A518&amp;B518</f>
        <v/>
      </c>
      <c r="D518" s="60">
        <f>VLOOKUP($C518,Asignaturas!$C$5:$D$261,2,0)</f>
        <v>0</v>
      </c>
      <c r="E518" s="98"/>
      <c r="F518" s="61"/>
      <c r="G518" s="62"/>
      <c r="H518" s="62"/>
      <c r="I518" s="61"/>
      <c r="J518" s="63">
        <f>+Tabla2[[#This Row],[DÍA DE ENTREGA]]+8</f>
        <v>8</v>
      </c>
      <c r="K518" s="61"/>
      <c r="L518" s="99"/>
      <c r="M518" s="29"/>
      <c r="N518" s="29"/>
    </row>
    <row r="519" spans="1:14" ht="31.5" customHeight="1">
      <c r="A519" s="29"/>
      <c r="B519" s="29"/>
      <c r="C519" s="29" t="str">
        <f>A519&amp;B519</f>
        <v/>
      </c>
      <c r="D519" s="30">
        <f>VLOOKUP($C519,Asignaturas!$C$5:$D$261,2,0)</f>
        <v>0</v>
      </c>
      <c r="E519" s="95"/>
      <c r="F519" s="61"/>
      <c r="G519" s="62"/>
      <c r="H519" s="62"/>
      <c r="I519" s="61"/>
      <c r="J519" s="63">
        <f>+Tabla2[[#This Row],[DÍA DE ENTREGA]]+8</f>
        <v>8</v>
      </c>
      <c r="K519" s="61"/>
      <c r="L519" s="99"/>
      <c r="M519" s="29"/>
      <c r="N519" s="29"/>
    </row>
    <row r="520" spans="1:14" ht="31.5" customHeight="1">
      <c r="A520" s="29"/>
      <c r="B520" s="29"/>
      <c r="C520" s="29" t="str">
        <f>A520&amp;B520</f>
        <v/>
      </c>
      <c r="D520" s="30">
        <f>VLOOKUP($C520,Asignaturas!$C$5:$D$261,2,0)</f>
        <v>0</v>
      </c>
      <c r="E520" s="95"/>
      <c r="F520" s="61"/>
      <c r="G520" s="62"/>
      <c r="H520" s="62"/>
      <c r="I520" s="61"/>
      <c r="J520" s="63">
        <f>+Tabla2[[#This Row],[DÍA DE ENTREGA]]+8</f>
        <v>8</v>
      </c>
      <c r="K520" s="61"/>
      <c r="L520" s="99"/>
      <c r="M520" s="29"/>
      <c r="N520" s="29"/>
    </row>
    <row r="521" spans="1:14" ht="31.5" customHeight="1">
      <c r="A521" s="29"/>
      <c r="B521" s="29"/>
      <c r="C521" s="29" t="str">
        <f>A521&amp;B521</f>
        <v/>
      </c>
      <c r="D521" s="30">
        <f>VLOOKUP($C521,Asignaturas!$C$5:$D$261,2,0)</f>
        <v>0</v>
      </c>
      <c r="E521" s="95"/>
      <c r="F521" s="23"/>
      <c r="G521" s="62"/>
      <c r="H521" s="62"/>
      <c r="I521" s="61"/>
      <c r="J521" s="63">
        <f>+Tabla2[[#This Row],[DÍA DE ENTREGA]]+8</f>
        <v>8</v>
      </c>
      <c r="K521" s="61"/>
      <c r="L521" s="99"/>
      <c r="M521" s="29"/>
      <c r="N521" s="29"/>
    </row>
    <row r="522" spans="1:14" ht="31.5" customHeight="1">
      <c r="A522" s="29"/>
      <c r="B522" s="29"/>
      <c r="C522" s="29" t="str">
        <f>A522&amp;B522</f>
        <v/>
      </c>
      <c r="D522" s="30">
        <f>VLOOKUP($C522,Asignaturas!$C$5:$D$261,2,0)</f>
        <v>0</v>
      </c>
      <c r="E522" s="95"/>
      <c r="F522" s="23"/>
      <c r="G522" s="31"/>
      <c r="H522" s="31"/>
      <c r="I522" s="23"/>
      <c r="J522" s="36">
        <f>+Tabla2[[#This Row],[DÍA DE ENTREGA]]+8</f>
        <v>8</v>
      </c>
      <c r="K522" s="23"/>
      <c r="L522" s="99"/>
      <c r="M522" s="29"/>
      <c r="N522" s="29"/>
    </row>
    <row r="523" spans="1:14" ht="31.5" customHeight="1">
      <c r="A523" s="29"/>
      <c r="B523" s="29"/>
      <c r="C523" s="29" t="str">
        <f>A523&amp;B523</f>
        <v/>
      </c>
      <c r="D523" s="30">
        <f>VLOOKUP($C523,Asignaturas!$C$5:$D$261,2,0)</f>
        <v>0</v>
      </c>
      <c r="E523" s="95"/>
      <c r="F523" s="23"/>
      <c r="G523" s="31"/>
      <c r="H523" s="31"/>
      <c r="I523" s="23"/>
      <c r="J523" s="36">
        <f>+Tabla2[[#This Row],[DÍA DE ENTREGA]]+8</f>
        <v>8</v>
      </c>
      <c r="K523" s="23"/>
      <c r="L523" s="99"/>
      <c r="M523" s="29"/>
      <c r="N523" s="29"/>
    </row>
    <row r="524" spans="1:14" ht="31.5" customHeight="1">
      <c r="A524" s="29"/>
      <c r="B524" s="29"/>
      <c r="C524" s="29" t="str">
        <f>A524&amp;B524</f>
        <v/>
      </c>
      <c r="D524" s="30">
        <f>VLOOKUP($C524,Asignaturas!$C$5:$D$261,2,0)</f>
        <v>0</v>
      </c>
      <c r="E524" s="95"/>
      <c r="F524" s="23"/>
      <c r="G524" s="31"/>
      <c r="H524" s="31"/>
      <c r="I524" s="23"/>
      <c r="J524" s="36">
        <f>+Tabla2[[#This Row],[DÍA DE ENTREGA]]+8</f>
        <v>8</v>
      </c>
      <c r="K524" s="23"/>
      <c r="L524" s="100"/>
      <c r="M524" s="65"/>
      <c r="N524" s="29"/>
    </row>
    <row r="525" spans="1:14" ht="31.5" customHeight="1">
      <c r="A525" s="29"/>
      <c r="B525" s="29"/>
      <c r="C525" s="29" t="str">
        <f>A525&amp;B525</f>
        <v/>
      </c>
      <c r="D525" s="30">
        <f>VLOOKUP($C525,Asignaturas!$C$5:$D$261,2,0)</f>
        <v>0</v>
      </c>
      <c r="E525" s="95"/>
      <c r="F525" s="23"/>
      <c r="G525" s="31"/>
      <c r="H525" s="31"/>
      <c r="I525" s="23"/>
      <c r="J525" s="36">
        <f>+Tabla2[[#This Row],[DÍA DE ENTREGA]]+8</f>
        <v>8</v>
      </c>
      <c r="K525" s="23"/>
      <c r="L525" s="100"/>
      <c r="M525" s="65"/>
      <c r="N525" s="29"/>
    </row>
    <row r="526" spans="1:14" ht="31.5" customHeight="1">
      <c r="A526" s="29"/>
      <c r="B526" s="29"/>
      <c r="C526" s="29" t="str">
        <f>A526&amp;B526</f>
        <v/>
      </c>
      <c r="D526" s="30">
        <f>VLOOKUP($C526,Asignaturas!$C$5:$D$261,2,0)</f>
        <v>0</v>
      </c>
      <c r="E526" s="95"/>
      <c r="F526" s="23"/>
      <c r="G526" s="31"/>
      <c r="H526" s="31"/>
      <c r="I526" s="23"/>
      <c r="J526" s="36">
        <f>+Tabla2[[#This Row],[DÍA DE ENTREGA]]+8</f>
        <v>8</v>
      </c>
      <c r="K526" s="23"/>
      <c r="L526" s="100"/>
      <c r="M526" s="65"/>
      <c r="N526" s="29"/>
    </row>
    <row r="527" spans="1:14" ht="31.5" customHeight="1">
      <c r="A527" s="29"/>
      <c r="B527" s="29"/>
      <c r="C527" s="29" t="str">
        <f>A527&amp;B527</f>
        <v/>
      </c>
      <c r="D527" s="30">
        <f>VLOOKUP($C527,Asignaturas!$C$5:$D$261,2,0)</f>
        <v>0</v>
      </c>
      <c r="E527" s="95"/>
      <c r="F527" s="23"/>
      <c r="G527" s="31"/>
      <c r="H527" s="31"/>
      <c r="I527" s="23"/>
      <c r="J527" s="36">
        <f>+Tabla2[[#This Row],[DÍA DE ENTREGA]]+8</f>
        <v>8</v>
      </c>
      <c r="K527" s="23"/>
      <c r="L527" s="99"/>
      <c r="M527" s="29"/>
      <c r="N527" s="29"/>
    </row>
    <row r="528" spans="1:14" ht="31.5" customHeight="1">
      <c r="A528" s="29"/>
      <c r="B528" s="29"/>
      <c r="C528" s="29" t="str">
        <f>A528&amp;B528</f>
        <v/>
      </c>
      <c r="D528" s="30">
        <f>VLOOKUP($C528,Asignaturas!$C$5:$D$261,2,0)</f>
        <v>0</v>
      </c>
      <c r="E528" s="95"/>
      <c r="F528" s="23"/>
      <c r="G528" s="31"/>
      <c r="H528" s="31"/>
      <c r="I528" s="23"/>
      <c r="J528" s="36">
        <f>+Tabla2[[#This Row],[DÍA DE ENTREGA]]+8</f>
        <v>8</v>
      </c>
      <c r="K528" s="23"/>
      <c r="L528" s="99"/>
      <c r="M528" s="29"/>
      <c r="N528" s="29"/>
    </row>
    <row r="529" spans="1:14" ht="31.5" customHeight="1">
      <c r="A529" s="29"/>
      <c r="B529" s="29"/>
      <c r="C529" s="29" t="str">
        <f>A529&amp;B529</f>
        <v/>
      </c>
      <c r="D529" s="30">
        <f>VLOOKUP($C529,Asignaturas!$C$5:$D$261,2,0)</f>
        <v>0</v>
      </c>
      <c r="E529" s="95"/>
      <c r="F529" s="23"/>
      <c r="G529" s="31"/>
      <c r="H529" s="31"/>
      <c r="I529" s="23"/>
      <c r="J529" s="36">
        <f>+Tabla2[[#This Row],[DÍA DE ENTREGA]]+8</f>
        <v>8</v>
      </c>
      <c r="K529" s="23"/>
      <c r="L529" s="99"/>
      <c r="M529" s="29"/>
      <c r="N529" s="29"/>
    </row>
    <row r="530" spans="1:14" ht="31.5" customHeight="1">
      <c r="A530" s="29"/>
      <c r="B530" s="29"/>
      <c r="C530" s="29" t="str">
        <f>A530&amp;B530</f>
        <v/>
      </c>
      <c r="D530" s="30">
        <f>VLOOKUP($C530,Asignaturas!$C$5:$D$261,2,0)</f>
        <v>0</v>
      </c>
      <c r="E530" s="95"/>
      <c r="F530" s="23"/>
      <c r="G530" s="31"/>
      <c r="H530" s="31"/>
      <c r="I530" s="23"/>
      <c r="J530" s="36">
        <f>+Tabla2[[#This Row],[DÍA DE ENTREGA]]+8</f>
        <v>8</v>
      </c>
      <c r="K530" s="23"/>
      <c r="L530" s="99"/>
      <c r="M530" s="29"/>
      <c r="N530" s="29"/>
    </row>
    <row r="531" spans="1:14" ht="31.5" customHeight="1">
      <c r="A531" s="29"/>
      <c r="B531" s="29"/>
      <c r="C531" s="29" t="str">
        <f>A531&amp;B531</f>
        <v/>
      </c>
      <c r="D531" s="30">
        <f>VLOOKUP($C531,Asignaturas!$C$5:$D$261,2,0)</f>
        <v>0</v>
      </c>
      <c r="E531" s="95"/>
      <c r="F531" s="23"/>
      <c r="G531" s="31"/>
      <c r="H531" s="31"/>
      <c r="I531" s="23"/>
      <c r="J531" s="36">
        <f>+Tabla2[[#This Row],[DÍA DE ENTREGA]]+8</f>
        <v>8</v>
      </c>
      <c r="K531" s="23"/>
      <c r="L531" s="99"/>
      <c r="M531" s="29"/>
      <c r="N531" s="29"/>
    </row>
    <row r="532" spans="1:14" ht="31.5" customHeight="1">
      <c r="A532" s="29"/>
      <c r="B532" s="29"/>
      <c r="C532" s="29" t="str">
        <f>A532&amp;B532</f>
        <v/>
      </c>
      <c r="D532" s="30">
        <f>VLOOKUP($C532,Asignaturas!$C$5:$D$261,2,0)</f>
        <v>0</v>
      </c>
      <c r="E532" s="95"/>
      <c r="F532" s="23"/>
      <c r="G532" s="31"/>
      <c r="H532" s="31"/>
      <c r="I532" s="23"/>
      <c r="J532" s="36">
        <f>+Tabla2[[#This Row],[DÍA DE ENTREGA]]+8</f>
        <v>8</v>
      </c>
      <c r="K532" s="23"/>
      <c r="L532" s="99"/>
      <c r="M532" s="29"/>
      <c r="N532" s="29"/>
    </row>
    <row r="533" spans="1:14" ht="31.5" customHeight="1">
      <c r="A533" s="29"/>
      <c r="B533" s="29"/>
      <c r="C533" s="29" t="str">
        <f>A533&amp;B533</f>
        <v/>
      </c>
      <c r="D533" s="30">
        <f>VLOOKUP($C533,Asignaturas!$C$5:$D$261,2,0)</f>
        <v>0</v>
      </c>
      <c r="E533" s="95"/>
      <c r="F533" s="23"/>
      <c r="G533" s="31"/>
      <c r="H533" s="31"/>
      <c r="I533" s="23"/>
      <c r="J533" s="36">
        <f>+Tabla2[[#This Row],[DÍA DE ENTREGA]]+8</f>
        <v>8</v>
      </c>
      <c r="K533" s="23"/>
      <c r="L533" s="99"/>
      <c r="M533" s="29"/>
      <c r="N533" s="29"/>
    </row>
    <row r="534" spans="1:14" ht="31.5" customHeight="1">
      <c r="A534" s="29"/>
      <c r="B534" s="29"/>
      <c r="C534" s="29" t="str">
        <f>A534&amp;B534</f>
        <v/>
      </c>
      <c r="D534" s="30">
        <f>VLOOKUP($C534,Asignaturas!$C$5:$D$261,2,0)</f>
        <v>0</v>
      </c>
      <c r="E534" s="95"/>
      <c r="F534" s="23"/>
      <c r="G534" s="31"/>
      <c r="H534" s="31"/>
      <c r="I534" s="23"/>
      <c r="J534" s="36">
        <f>+Tabla2[[#This Row],[DÍA DE ENTREGA]]+8</f>
        <v>8</v>
      </c>
      <c r="K534" s="23"/>
      <c r="L534" s="99"/>
      <c r="M534" s="29"/>
      <c r="N534" s="29"/>
    </row>
    <row r="535" spans="1:14" ht="31.5" customHeight="1">
      <c r="A535" s="29"/>
      <c r="B535" s="29"/>
      <c r="C535" s="29" t="str">
        <f>A535&amp;B535</f>
        <v/>
      </c>
      <c r="D535" s="30">
        <f>VLOOKUP($C535,Asignaturas!$C$5:$D$261,2,0)</f>
        <v>0</v>
      </c>
      <c r="E535" s="95"/>
      <c r="F535" s="23"/>
      <c r="G535" s="31"/>
      <c r="H535" s="31"/>
      <c r="I535" s="23"/>
      <c r="J535" s="36">
        <f>+Tabla2[[#This Row],[DÍA DE ENTREGA]]+8</f>
        <v>8</v>
      </c>
      <c r="K535" s="23"/>
      <c r="L535" s="99"/>
      <c r="M535" s="29"/>
      <c r="N535" s="29"/>
    </row>
    <row r="536" spans="1:14" ht="31.5" customHeight="1">
      <c r="A536" s="29"/>
      <c r="B536" s="29"/>
      <c r="C536" s="29" t="str">
        <f>A536&amp;B536</f>
        <v/>
      </c>
      <c r="D536" s="30">
        <f>VLOOKUP($C536,Asignaturas!$C$5:$D$261,2,0)</f>
        <v>0</v>
      </c>
      <c r="E536" s="95"/>
      <c r="F536" s="23"/>
      <c r="G536" s="31"/>
      <c r="H536" s="31"/>
      <c r="I536" s="23"/>
      <c r="J536" s="36">
        <f>+Tabla2[[#This Row],[DÍA DE ENTREGA]]+8</f>
        <v>8</v>
      </c>
      <c r="K536" s="23"/>
      <c r="L536" s="99"/>
      <c r="M536" s="29"/>
      <c r="N536" s="29"/>
    </row>
    <row r="537" spans="1:14" ht="31.5" customHeight="1">
      <c r="A537" s="29"/>
      <c r="B537" s="29"/>
      <c r="C537" s="29" t="str">
        <f>A537&amp;B537</f>
        <v/>
      </c>
      <c r="D537" s="30">
        <f>VLOOKUP($C537,Asignaturas!$C$5:$D$261,2,0)</f>
        <v>0</v>
      </c>
      <c r="E537" s="95"/>
      <c r="F537" s="23"/>
      <c r="G537" s="31"/>
      <c r="H537" s="31"/>
      <c r="I537" s="23"/>
      <c r="J537" s="36">
        <f>+Tabla2[[#This Row],[DÍA DE ENTREGA]]+8</f>
        <v>8</v>
      </c>
      <c r="K537" s="23"/>
      <c r="L537" s="99"/>
      <c r="M537" s="29"/>
      <c r="N537" s="29"/>
    </row>
    <row r="538" spans="1:14" ht="31.5" customHeight="1">
      <c r="A538" s="29"/>
      <c r="B538" s="29"/>
      <c r="C538" s="29" t="str">
        <f>A538&amp;B538</f>
        <v/>
      </c>
      <c r="D538" s="30">
        <f>VLOOKUP($C538,Asignaturas!$C$5:$D$261,2,0)</f>
        <v>0</v>
      </c>
      <c r="E538" s="95"/>
      <c r="F538" s="23"/>
      <c r="G538" s="31"/>
      <c r="H538" s="31"/>
      <c r="I538" s="23"/>
      <c r="J538" s="36">
        <f>+Tabla2[[#This Row],[DÍA DE ENTREGA]]+8</f>
        <v>8</v>
      </c>
      <c r="K538" s="23"/>
      <c r="L538" s="99"/>
      <c r="M538" s="29"/>
      <c r="N538" s="29"/>
    </row>
    <row r="539" spans="1:14" ht="31.5" customHeight="1">
      <c r="A539" s="29"/>
      <c r="B539" s="29"/>
      <c r="C539" s="29" t="str">
        <f>A539&amp;B539</f>
        <v/>
      </c>
      <c r="D539" s="30">
        <f>VLOOKUP($C539,Asignaturas!$C$5:$D$261,2,0)</f>
        <v>0</v>
      </c>
      <c r="E539" s="95"/>
      <c r="F539" s="23"/>
      <c r="G539" s="31"/>
      <c r="H539" s="31"/>
      <c r="I539" s="23"/>
      <c r="J539" s="36">
        <f>+Tabla2[[#This Row],[DÍA DE ENTREGA]]+8</f>
        <v>8</v>
      </c>
      <c r="K539" s="23"/>
      <c r="L539" s="99"/>
      <c r="M539" s="44"/>
      <c r="N539" s="29"/>
    </row>
    <row r="540" spans="1:14" ht="31.5" customHeight="1">
      <c r="A540" s="29"/>
      <c r="B540" s="29"/>
      <c r="C540" s="29" t="str">
        <f>A540&amp;B540</f>
        <v/>
      </c>
      <c r="D540" s="30">
        <f>VLOOKUP($C540,Asignaturas!$C$5:$D$261,2,0)</f>
        <v>0</v>
      </c>
      <c r="E540" s="95"/>
      <c r="F540" s="23"/>
      <c r="G540" s="31"/>
      <c r="H540" s="31"/>
      <c r="I540" s="23"/>
      <c r="J540" s="36">
        <f>+Tabla2[[#This Row],[DÍA DE ENTREGA]]+8</f>
        <v>8</v>
      </c>
      <c r="K540" s="23"/>
      <c r="L540" s="99"/>
      <c r="M540" s="29"/>
      <c r="N540" s="29"/>
    </row>
    <row r="541" spans="1:14" ht="31.5" customHeight="1">
      <c r="A541" s="29"/>
      <c r="B541" s="29"/>
      <c r="C541" s="29" t="str">
        <f>A541&amp;B541</f>
        <v/>
      </c>
      <c r="D541" s="30">
        <f>VLOOKUP($C541,Asignaturas!$C$5:$D$261,2,0)</f>
        <v>0</v>
      </c>
      <c r="E541" s="95"/>
      <c r="F541" s="23"/>
      <c r="G541" s="31"/>
      <c r="H541" s="31"/>
      <c r="I541" s="23"/>
      <c r="J541" s="36">
        <f>+Tabla2[[#This Row],[DÍA DE ENTREGA]]+8</f>
        <v>8</v>
      </c>
      <c r="K541" s="23"/>
      <c r="L541" s="100"/>
      <c r="M541" s="29"/>
      <c r="N541" s="29"/>
    </row>
    <row r="542" spans="1:14" ht="31.5" customHeight="1">
      <c r="A542" s="29"/>
      <c r="B542" s="29"/>
      <c r="C542" s="29" t="str">
        <f>A542&amp;B542</f>
        <v/>
      </c>
      <c r="D542" s="30">
        <f>VLOOKUP($C542,Asignaturas!$C$5:$D$261,2,0)</f>
        <v>0</v>
      </c>
      <c r="E542" s="95"/>
      <c r="F542" s="23"/>
      <c r="G542" s="31"/>
      <c r="H542" s="31"/>
      <c r="I542" s="23"/>
      <c r="J542" s="36">
        <f>+Tabla2[[#This Row],[DÍA DE ENTREGA]]+8</f>
        <v>8</v>
      </c>
      <c r="K542" s="23"/>
      <c r="L542" s="99"/>
      <c r="M542" s="29"/>
      <c r="N542" s="29"/>
    </row>
    <row r="543" spans="1:14" ht="31.5" customHeight="1">
      <c r="A543" s="29"/>
      <c r="B543" s="29"/>
      <c r="C543" s="29" t="str">
        <f>A543&amp;B543</f>
        <v/>
      </c>
      <c r="D543" s="30">
        <f>VLOOKUP($C543,Asignaturas!$C$5:$D$261,2,0)</f>
        <v>0</v>
      </c>
      <c r="E543" s="95"/>
      <c r="F543" s="23"/>
      <c r="G543" s="31"/>
      <c r="H543" s="31"/>
      <c r="I543" s="23"/>
      <c r="J543" s="36">
        <f>+Tabla2[[#This Row],[DÍA DE ENTREGA]]+8</f>
        <v>8</v>
      </c>
      <c r="K543" s="23"/>
      <c r="L543" s="100"/>
      <c r="M543" s="29"/>
      <c r="N543" s="29"/>
    </row>
    <row r="544" spans="1:14" ht="31.5" customHeight="1">
      <c r="A544" s="29"/>
      <c r="B544" s="29"/>
      <c r="C544" s="29" t="str">
        <f>A544&amp;B544</f>
        <v/>
      </c>
      <c r="D544" s="30">
        <f>VLOOKUP($C544,Asignaturas!$C$5:$D$261,2,0)</f>
        <v>0</v>
      </c>
      <c r="E544" s="95"/>
      <c r="F544" s="23"/>
      <c r="G544" s="31"/>
      <c r="H544" s="31"/>
      <c r="I544" s="23"/>
      <c r="J544" s="36">
        <f>+Tabla2[[#This Row],[DÍA DE ENTREGA]]+8</f>
        <v>8</v>
      </c>
      <c r="K544" s="23"/>
      <c r="L544" s="99"/>
      <c r="M544" s="65"/>
      <c r="N544" s="29"/>
    </row>
    <row r="545" spans="1:14" ht="31.5" customHeight="1">
      <c r="A545" s="29"/>
      <c r="B545" s="29"/>
      <c r="C545" s="29" t="str">
        <f>A545&amp;B545</f>
        <v/>
      </c>
      <c r="D545" s="30">
        <f>VLOOKUP($C545,Asignaturas!$C$5:$D$261,2,0)</f>
        <v>0</v>
      </c>
      <c r="E545" s="95"/>
      <c r="F545" s="23"/>
      <c r="G545" s="31"/>
      <c r="H545" s="31"/>
      <c r="I545" s="23"/>
      <c r="J545" s="36">
        <f>+Tabla2[[#This Row],[DÍA DE ENTREGA]]+8</f>
        <v>8</v>
      </c>
      <c r="K545" s="23"/>
      <c r="L545" s="99"/>
      <c r="M545" s="65"/>
      <c r="N545" s="29"/>
    </row>
    <row r="546" spans="1:14" ht="31.5" customHeight="1">
      <c r="A546" s="29"/>
      <c r="B546" s="29"/>
      <c r="C546" s="29" t="str">
        <f>A546&amp;B546</f>
        <v/>
      </c>
      <c r="D546" s="30">
        <f>VLOOKUP($C546,Asignaturas!$C$5:$D$261,2,0)</f>
        <v>0</v>
      </c>
      <c r="E546" s="95"/>
      <c r="F546" s="23"/>
      <c r="G546" s="31"/>
      <c r="H546" s="31"/>
      <c r="I546" s="23"/>
      <c r="J546" s="36">
        <f>+Tabla2[[#This Row],[DÍA DE ENTREGA]]+8</f>
        <v>8</v>
      </c>
      <c r="K546" s="23"/>
      <c r="L546" s="99"/>
      <c r="M546" s="65"/>
      <c r="N546" s="29"/>
    </row>
    <row r="547" spans="1:14" ht="31.5" customHeight="1">
      <c r="A547" s="29"/>
      <c r="B547" s="29"/>
      <c r="C547" s="29" t="str">
        <f>A547&amp;B547</f>
        <v/>
      </c>
      <c r="D547" s="30">
        <f>VLOOKUP($C547,Asignaturas!$C$5:$D$261,2,0)</f>
        <v>0</v>
      </c>
      <c r="E547" s="95"/>
      <c r="F547" s="23"/>
      <c r="G547" s="31"/>
      <c r="H547" s="31"/>
      <c r="I547" s="23"/>
      <c r="J547" s="36">
        <f>+Tabla2[[#This Row],[DÍA DE ENTREGA]]+8</f>
        <v>8</v>
      </c>
      <c r="K547" s="23"/>
      <c r="L547" s="99"/>
      <c r="M547" s="29"/>
      <c r="N547" s="29"/>
    </row>
    <row r="548" spans="1:14" ht="31.5" customHeight="1">
      <c r="A548" s="29"/>
      <c r="B548" s="29"/>
      <c r="C548" s="29" t="str">
        <f>A548&amp;B548</f>
        <v/>
      </c>
      <c r="D548" s="30">
        <f>VLOOKUP($C548,Asignaturas!$C$5:$D$261,2,0)</f>
        <v>0</v>
      </c>
      <c r="E548" s="95"/>
      <c r="F548" s="23"/>
      <c r="G548" s="31"/>
      <c r="H548" s="31"/>
      <c r="I548" s="23"/>
      <c r="J548" s="36">
        <f>+Tabla2[[#This Row],[DÍA DE ENTREGA]]+8</f>
        <v>8</v>
      </c>
      <c r="K548" s="23"/>
      <c r="L548" s="99"/>
      <c r="M548" s="29"/>
      <c r="N548" s="29"/>
    </row>
    <row r="549" spans="1:14" ht="31.5" customHeight="1">
      <c r="A549" s="29"/>
      <c r="B549" s="29"/>
      <c r="C549" s="29" t="str">
        <f>A549&amp;B549</f>
        <v/>
      </c>
      <c r="D549" s="30">
        <f>VLOOKUP($C549,Asignaturas!$C$5:$D$261,2,0)</f>
        <v>0</v>
      </c>
      <c r="E549" s="95"/>
      <c r="F549" s="23"/>
      <c r="G549" s="31"/>
      <c r="H549" s="31"/>
      <c r="I549" s="23"/>
      <c r="J549" s="36">
        <f>+Tabla2[[#This Row],[DÍA DE ENTREGA]]+8</f>
        <v>8</v>
      </c>
      <c r="K549" s="23"/>
      <c r="L549" s="99"/>
      <c r="M549" s="29"/>
      <c r="N549" s="29"/>
    </row>
    <row r="550" spans="1:14" ht="31.5" customHeight="1">
      <c r="A550" s="29"/>
      <c r="B550" s="29"/>
      <c r="C550" s="29" t="str">
        <f>A550&amp;B550</f>
        <v/>
      </c>
      <c r="D550" s="30">
        <f>VLOOKUP($C550,Asignaturas!$C$5:$D$261,2,0)</f>
        <v>0</v>
      </c>
      <c r="E550" s="95"/>
      <c r="F550" s="23"/>
      <c r="G550" s="31"/>
      <c r="H550" s="31"/>
      <c r="I550" s="23"/>
      <c r="J550" s="36">
        <f>+Tabla2[[#This Row],[DÍA DE ENTREGA]]+8</f>
        <v>8</v>
      </c>
      <c r="K550" s="23"/>
      <c r="L550" s="99"/>
      <c r="M550" s="29"/>
      <c r="N550" s="29"/>
    </row>
    <row r="551" spans="1:14" ht="31.5" customHeight="1">
      <c r="A551" s="29"/>
      <c r="B551" s="29"/>
      <c r="C551" s="29" t="str">
        <f>A551&amp;B551</f>
        <v/>
      </c>
      <c r="D551" s="30">
        <f>VLOOKUP($C551,Asignaturas!$C$5:$D$261,2,0)</f>
        <v>0</v>
      </c>
      <c r="E551" s="95"/>
      <c r="F551" s="23"/>
      <c r="G551" s="31"/>
      <c r="H551" s="31"/>
      <c r="I551" s="23"/>
      <c r="J551" s="36">
        <f>+Tabla2[[#This Row],[DÍA DE ENTREGA]]+8</f>
        <v>8</v>
      </c>
      <c r="K551" s="23"/>
      <c r="L551" s="99"/>
      <c r="M551" s="29"/>
      <c r="N551" s="29"/>
    </row>
    <row r="552" spans="1:14" ht="31.5" customHeight="1">
      <c r="A552" s="29"/>
      <c r="B552" s="29"/>
      <c r="C552" s="29" t="str">
        <f>A552&amp;B552</f>
        <v/>
      </c>
      <c r="D552" s="30">
        <f>VLOOKUP($C552,Asignaturas!$C$5:$D$261,2,0)</f>
        <v>0</v>
      </c>
      <c r="E552" s="95"/>
      <c r="F552" s="23"/>
      <c r="G552" s="31"/>
      <c r="H552" s="31"/>
      <c r="I552" s="23"/>
      <c r="J552" s="36">
        <f>+Tabla2[[#This Row],[DÍA DE ENTREGA]]+8</f>
        <v>8</v>
      </c>
      <c r="K552" s="23"/>
      <c r="L552" s="99"/>
      <c r="M552" s="29"/>
      <c r="N552" s="29"/>
    </row>
    <row r="553" spans="1:14" ht="31.5" customHeight="1">
      <c r="A553" s="29"/>
      <c r="B553" s="29"/>
      <c r="C553" s="29" t="str">
        <f>A553&amp;B553</f>
        <v/>
      </c>
      <c r="D553" s="30">
        <f>VLOOKUP($C553,Asignaturas!$C$5:$D$261,2,0)</f>
        <v>0</v>
      </c>
      <c r="E553" s="95"/>
      <c r="F553" s="23"/>
      <c r="G553" s="31"/>
      <c r="H553" s="31"/>
      <c r="I553" s="23"/>
      <c r="J553" s="36">
        <f>+Tabla2[[#This Row],[DÍA DE ENTREGA]]+8</f>
        <v>8</v>
      </c>
      <c r="K553" s="23"/>
      <c r="L553" s="99"/>
      <c r="M553" s="29"/>
      <c r="N553" s="29"/>
    </row>
    <row r="554" spans="1:14" ht="31.5" customHeight="1">
      <c r="A554" s="29"/>
      <c r="B554" s="29"/>
      <c r="C554" s="29" t="str">
        <f>A554&amp;B554</f>
        <v/>
      </c>
      <c r="D554" s="30">
        <f>VLOOKUP($C554,Asignaturas!$C$5:$D$261,2,0)</f>
        <v>0</v>
      </c>
      <c r="E554" s="95"/>
      <c r="F554" s="23"/>
      <c r="G554" s="31"/>
      <c r="H554" s="31"/>
      <c r="I554" s="23"/>
      <c r="J554" s="36">
        <f>+Tabla2[[#This Row],[DÍA DE ENTREGA]]+8</f>
        <v>8</v>
      </c>
      <c r="K554" s="23"/>
      <c r="L554" s="99"/>
      <c r="M554" s="29"/>
      <c r="N554" s="29"/>
    </row>
    <row r="555" spans="1:14" ht="31.5" customHeight="1">
      <c r="A555" s="29"/>
      <c r="B555" s="29"/>
      <c r="C555" s="29" t="str">
        <f>A555&amp;B555</f>
        <v/>
      </c>
      <c r="D555" s="30">
        <f>VLOOKUP($C555,Asignaturas!$C$5:$D$261,2,0)</f>
        <v>0</v>
      </c>
      <c r="E555" s="95"/>
      <c r="F555" s="23"/>
      <c r="G555" s="31"/>
      <c r="H555" s="31"/>
      <c r="I555" s="23"/>
      <c r="J555" s="36">
        <f>+Tabla2[[#This Row],[DÍA DE ENTREGA]]+8</f>
        <v>8</v>
      </c>
      <c r="K555" s="23"/>
      <c r="L555" s="99"/>
      <c r="M555" s="29"/>
      <c r="N555" s="29"/>
    </row>
    <row r="556" spans="1:14" ht="31.5" customHeight="1">
      <c r="A556" s="29"/>
      <c r="B556" s="29"/>
      <c r="C556" s="29" t="str">
        <f>A556&amp;B556</f>
        <v/>
      </c>
      <c r="D556" s="30">
        <f>VLOOKUP($C556,Asignaturas!$C$5:$D$261,2,0)</f>
        <v>0</v>
      </c>
      <c r="E556" s="95"/>
      <c r="F556" s="23"/>
      <c r="G556" s="31"/>
      <c r="H556" s="31"/>
      <c r="I556" s="23"/>
      <c r="J556" s="36">
        <f>+Tabla2[[#This Row],[DÍA DE ENTREGA]]+8</f>
        <v>8</v>
      </c>
      <c r="K556" s="23"/>
      <c r="L556" s="99"/>
      <c r="M556" s="29"/>
      <c r="N556" s="29"/>
    </row>
    <row r="557" spans="1:14" ht="31.5" customHeight="1">
      <c r="A557" s="29"/>
      <c r="B557" s="29"/>
      <c r="C557" s="29" t="str">
        <f>A557&amp;B557</f>
        <v/>
      </c>
      <c r="D557" s="30">
        <f>VLOOKUP($C557,Asignaturas!$C$5:$D$261,2,0)</f>
        <v>0</v>
      </c>
      <c r="E557" s="95"/>
      <c r="F557" s="23"/>
      <c r="G557" s="31"/>
      <c r="H557" s="31"/>
      <c r="I557" s="23"/>
      <c r="J557" s="36">
        <f>+Tabla2[[#This Row],[DÍA DE ENTREGA]]+8</f>
        <v>8</v>
      </c>
      <c r="K557" s="23"/>
      <c r="L557" s="99"/>
      <c r="M557" s="29"/>
      <c r="N557" s="29"/>
    </row>
    <row r="558" spans="1:14" ht="31.5" customHeight="1">
      <c r="A558" s="29"/>
      <c r="B558" s="29"/>
      <c r="C558" s="29" t="str">
        <f>A558&amp;B558</f>
        <v/>
      </c>
      <c r="D558" s="30">
        <f>VLOOKUP($C558,Asignaturas!$C$5:$D$261,2,0)</f>
        <v>0</v>
      </c>
      <c r="E558" s="95"/>
      <c r="F558" s="23"/>
      <c r="G558" s="31"/>
      <c r="H558" s="31"/>
      <c r="I558" s="23"/>
      <c r="J558" s="36">
        <f>+Tabla2[[#This Row],[DÍA DE ENTREGA]]+8</f>
        <v>8</v>
      </c>
      <c r="K558" s="23"/>
      <c r="L558" s="100"/>
      <c r="M558" s="29"/>
      <c r="N558" s="29"/>
    </row>
    <row r="559" spans="1:14" ht="31.5" customHeight="1">
      <c r="A559" s="29"/>
      <c r="B559" s="29"/>
      <c r="C559" s="29" t="str">
        <f>A559&amp;B559</f>
        <v/>
      </c>
      <c r="D559" s="30">
        <f>VLOOKUP($C559,Asignaturas!$C$5:$D$261,2,0)</f>
        <v>0</v>
      </c>
      <c r="E559" s="95"/>
      <c r="F559" s="23"/>
      <c r="G559" s="31"/>
      <c r="H559" s="31"/>
      <c r="I559" s="23"/>
      <c r="J559" s="36">
        <f>+Tabla2[[#This Row],[DÍA DE ENTREGA]]+8</f>
        <v>8</v>
      </c>
      <c r="K559" s="23"/>
      <c r="L559" s="99"/>
      <c r="M559" s="29"/>
      <c r="N559" s="29"/>
    </row>
    <row r="560" spans="1:14" ht="31.5" customHeight="1">
      <c r="A560" s="29"/>
      <c r="B560" s="29"/>
      <c r="C560" s="29" t="str">
        <f>A560&amp;B560</f>
        <v/>
      </c>
      <c r="D560" s="30">
        <f>VLOOKUP($C560,Asignaturas!$C$5:$D$261,2,0)</f>
        <v>0</v>
      </c>
      <c r="E560" s="95"/>
      <c r="F560" s="23"/>
      <c r="G560" s="31"/>
      <c r="H560" s="31"/>
      <c r="I560" s="23"/>
      <c r="J560" s="36">
        <f>+Tabla2[[#This Row],[DÍA DE ENTREGA]]+8</f>
        <v>8</v>
      </c>
      <c r="K560" s="23"/>
      <c r="L560" s="99"/>
      <c r="M560" s="29"/>
      <c r="N560" s="29"/>
    </row>
    <row r="561" spans="1:14" ht="31.5" customHeight="1">
      <c r="A561" s="29"/>
      <c r="B561" s="29"/>
      <c r="C561" s="29" t="str">
        <f>A561&amp;B561</f>
        <v/>
      </c>
      <c r="D561" s="30">
        <f>VLOOKUP($C561,Asignaturas!$C$5:$D$261,2,0)</f>
        <v>0</v>
      </c>
      <c r="E561" s="95"/>
      <c r="F561" s="23"/>
      <c r="G561" s="31"/>
      <c r="H561" s="31"/>
      <c r="I561" s="23"/>
      <c r="J561" s="36">
        <f>+Tabla2[[#This Row],[DÍA DE ENTREGA]]+8</f>
        <v>8</v>
      </c>
      <c r="K561" s="23"/>
      <c r="L561" s="100"/>
      <c r="M561" s="29"/>
      <c r="N561" s="29"/>
    </row>
    <row r="562" spans="1:14" ht="31.5" customHeight="1">
      <c r="A562" s="29"/>
      <c r="B562" s="29"/>
      <c r="C562" s="29" t="str">
        <f>A562&amp;B562</f>
        <v/>
      </c>
      <c r="D562" s="30">
        <f>VLOOKUP($C562,Asignaturas!$C$5:$D$261,2,0)</f>
        <v>0</v>
      </c>
      <c r="E562" s="95"/>
      <c r="F562" s="23"/>
      <c r="G562" s="31"/>
      <c r="H562" s="31"/>
      <c r="I562" s="23"/>
      <c r="J562" s="36">
        <f>+Tabla2[[#This Row],[DÍA DE ENTREGA]]+8</f>
        <v>8</v>
      </c>
      <c r="K562" s="23"/>
      <c r="L562" s="99"/>
      <c r="M562" s="29"/>
      <c r="N562" s="29"/>
    </row>
    <row r="563" spans="1:14" ht="31.5" customHeight="1">
      <c r="A563" s="29"/>
      <c r="B563" s="29"/>
      <c r="C563" s="29" t="str">
        <f>A563&amp;B563</f>
        <v/>
      </c>
      <c r="D563" s="30">
        <f>VLOOKUP($C563,Asignaturas!$C$5:$D$261,2,0)</f>
        <v>0</v>
      </c>
      <c r="E563" s="95"/>
      <c r="F563" s="23"/>
      <c r="G563" s="31"/>
      <c r="H563" s="31"/>
      <c r="I563" s="23"/>
      <c r="J563" s="36">
        <f>+Tabla2[[#This Row],[DÍA DE ENTREGA]]+8</f>
        <v>8</v>
      </c>
      <c r="K563" s="23"/>
      <c r="L563" s="99"/>
      <c r="M563" s="29"/>
      <c r="N563" s="29"/>
    </row>
    <row r="564" spans="1:14" ht="31.5" customHeight="1">
      <c r="A564" s="29"/>
      <c r="B564" s="29"/>
      <c r="C564" s="29" t="str">
        <f>A564&amp;B564</f>
        <v/>
      </c>
      <c r="D564" s="30">
        <f>VLOOKUP($C564,Asignaturas!$C$5:$D$261,2,0)</f>
        <v>0</v>
      </c>
      <c r="E564" s="95"/>
      <c r="F564" s="23"/>
      <c r="G564" s="31"/>
      <c r="H564" s="31"/>
      <c r="I564" s="23"/>
      <c r="J564" s="36">
        <f>+Tabla2[[#This Row],[DÍA DE ENTREGA]]+8</f>
        <v>8</v>
      </c>
      <c r="K564" s="23"/>
      <c r="L564" s="99"/>
      <c r="M564" s="29"/>
      <c r="N564" s="29"/>
    </row>
    <row r="565" spans="1:14" ht="31.5" customHeight="1">
      <c r="A565" s="29"/>
      <c r="B565" s="29"/>
      <c r="C565" s="29" t="str">
        <f>A565&amp;B565</f>
        <v/>
      </c>
      <c r="D565" s="30">
        <f>VLOOKUP($C565,Asignaturas!$C$5:$D$261,2,0)</f>
        <v>0</v>
      </c>
      <c r="E565" s="95"/>
      <c r="F565" s="23"/>
      <c r="G565" s="31"/>
      <c r="H565" s="31"/>
      <c r="I565" s="23"/>
      <c r="J565" s="36">
        <f>+Tabla2[[#This Row],[DÍA DE ENTREGA]]+8</f>
        <v>8</v>
      </c>
      <c r="K565" s="23"/>
      <c r="L565" s="99"/>
      <c r="M565" s="29"/>
      <c r="N565" s="29"/>
    </row>
    <row r="566" spans="1:14" ht="31.5" customHeight="1">
      <c r="A566" s="29"/>
      <c r="B566" s="29"/>
      <c r="C566" s="29" t="str">
        <f>A566&amp;B566</f>
        <v/>
      </c>
      <c r="D566" s="30">
        <f>VLOOKUP($C566,Asignaturas!$C$5:$D$261,2,0)</f>
        <v>0</v>
      </c>
      <c r="E566" s="95"/>
      <c r="F566" s="23"/>
      <c r="G566" s="31"/>
      <c r="H566" s="31"/>
      <c r="I566" s="23"/>
      <c r="J566" s="36">
        <f>+Tabla2[[#This Row],[DÍA DE ENTREGA]]+8</f>
        <v>8</v>
      </c>
      <c r="K566" s="23"/>
      <c r="L566" s="99"/>
      <c r="M566" s="29"/>
      <c r="N566" s="29"/>
    </row>
    <row r="567" spans="1:14" ht="31.5" customHeight="1">
      <c r="A567" s="29"/>
      <c r="B567" s="29"/>
      <c r="C567" s="29" t="str">
        <f>A567&amp;B567</f>
        <v/>
      </c>
      <c r="D567" s="30">
        <f>VLOOKUP($C567,Asignaturas!$C$5:$D$261,2,0)</f>
        <v>0</v>
      </c>
      <c r="E567" s="95"/>
      <c r="F567" s="23"/>
      <c r="G567" s="31"/>
      <c r="H567" s="31"/>
      <c r="I567" s="23"/>
      <c r="J567" s="36">
        <f>+Tabla2[[#This Row],[DÍA DE ENTREGA]]+8</f>
        <v>8</v>
      </c>
      <c r="K567" s="23"/>
      <c r="L567" s="99"/>
      <c r="M567" s="29"/>
      <c r="N567" s="29"/>
    </row>
    <row r="568" spans="1:14" ht="31.5" customHeight="1">
      <c r="A568" s="29"/>
      <c r="B568" s="29"/>
      <c r="C568" s="29" t="str">
        <f>A568&amp;B568</f>
        <v/>
      </c>
      <c r="D568" s="30">
        <f>VLOOKUP($C568,Asignaturas!$C$5:$D$261,2,0)</f>
        <v>0</v>
      </c>
      <c r="E568" s="95"/>
      <c r="F568" s="23"/>
      <c r="G568" s="31"/>
      <c r="H568" s="31"/>
      <c r="I568" s="23"/>
      <c r="J568" s="36">
        <f>+Tabla2[[#This Row],[DÍA DE ENTREGA]]+10</f>
        <v>10</v>
      </c>
      <c r="K568" s="23"/>
      <c r="L568" s="99"/>
      <c r="M568" s="29"/>
      <c r="N568" s="29"/>
    </row>
    <row r="569" spans="1:14" ht="31.5" customHeight="1">
      <c r="A569" s="29"/>
      <c r="B569" s="29"/>
      <c r="C569" s="29" t="str">
        <f>A569&amp;B569</f>
        <v/>
      </c>
      <c r="D569" s="30">
        <f>VLOOKUP($C569,Asignaturas!$C$5:$D$261,2,0)</f>
        <v>0</v>
      </c>
      <c r="E569" s="95"/>
      <c r="F569" s="23"/>
      <c r="G569" s="31"/>
      <c r="H569" s="31"/>
      <c r="I569" s="23"/>
      <c r="J569" s="36">
        <f>+Tabla2[[#This Row],[DÍA DE ENTREGA]]+10</f>
        <v>10</v>
      </c>
      <c r="K569" s="23"/>
      <c r="L569" s="99"/>
      <c r="M569" s="29"/>
      <c r="N569" s="29"/>
    </row>
    <row r="570" spans="1:14" ht="31.5" customHeight="1">
      <c r="A570" s="29"/>
      <c r="B570" s="29"/>
      <c r="C570" s="29" t="str">
        <f>A570&amp;B570</f>
        <v/>
      </c>
      <c r="D570" s="30">
        <f>VLOOKUP($C570,Asignaturas!$C$5:$D$261,2,0)</f>
        <v>0</v>
      </c>
      <c r="E570" s="95"/>
      <c r="F570" s="23"/>
      <c r="G570" s="31"/>
      <c r="H570" s="31"/>
      <c r="I570" s="23"/>
      <c r="J570" s="36">
        <f>+Tabla2[[#This Row],[DÍA DE ENTREGA]]+10</f>
        <v>10</v>
      </c>
      <c r="K570" s="23"/>
      <c r="L570" s="99"/>
      <c r="M570" s="29"/>
      <c r="N570" s="29"/>
    </row>
    <row r="571" spans="1:14" ht="31.5" customHeight="1">
      <c r="A571" s="29"/>
      <c r="B571" s="29"/>
      <c r="C571" s="29" t="str">
        <f>A571&amp;B571</f>
        <v/>
      </c>
      <c r="D571" s="30">
        <f>VLOOKUP($C571,Asignaturas!$C$5:$D$261,2,0)</f>
        <v>0</v>
      </c>
      <c r="E571" s="95"/>
      <c r="F571" s="23"/>
      <c r="G571" s="31"/>
      <c r="H571" s="31"/>
      <c r="I571" s="23"/>
      <c r="J571" s="36">
        <f>+Tabla2[[#This Row],[DÍA DE ENTREGA]]+10</f>
        <v>10</v>
      </c>
      <c r="K571" s="23"/>
      <c r="L571" s="99"/>
      <c r="M571" s="29"/>
      <c r="N571" s="29"/>
    </row>
    <row r="572" spans="1:14" ht="31.5" customHeight="1">
      <c r="A572" s="29"/>
      <c r="B572" s="29"/>
      <c r="C572" s="29" t="str">
        <f>A572&amp;B572</f>
        <v/>
      </c>
      <c r="D572" s="30">
        <f>VLOOKUP($C572,Asignaturas!$C$5:$D$261,2,0)</f>
        <v>0</v>
      </c>
      <c r="E572" s="95"/>
      <c r="F572" s="23"/>
      <c r="G572" s="31"/>
      <c r="H572" s="31"/>
      <c r="I572" s="23"/>
      <c r="J572" s="36">
        <f>+Tabla2[[#This Row],[DÍA DE ENTREGA]]+10</f>
        <v>10</v>
      </c>
      <c r="K572" s="23"/>
      <c r="L572" s="99"/>
      <c r="M572" s="29"/>
      <c r="N572" s="29"/>
    </row>
    <row r="573" spans="1:14" ht="31.5" customHeight="1">
      <c r="A573" s="29"/>
      <c r="B573" s="29"/>
      <c r="C573" s="29" t="str">
        <f>A573&amp;B573</f>
        <v/>
      </c>
      <c r="D573" s="30">
        <f>VLOOKUP($C573,Asignaturas!$C$5:$D$261,2,0)</f>
        <v>0</v>
      </c>
      <c r="E573" s="95"/>
      <c r="F573" s="23"/>
      <c r="G573" s="31"/>
      <c r="H573" s="31"/>
      <c r="I573" s="23"/>
      <c r="J573" s="36">
        <f>+Tabla2[[#This Row],[DÍA DE ENTREGA]]+10</f>
        <v>10</v>
      </c>
      <c r="K573" s="23"/>
      <c r="L573" s="99"/>
      <c r="M573" s="29"/>
      <c r="N573" s="29"/>
    </row>
    <row r="574" spans="1:14" ht="31.5" customHeight="1">
      <c r="A574" s="29"/>
      <c r="B574" s="29"/>
      <c r="C574" s="29" t="str">
        <f>A574&amp;B574</f>
        <v/>
      </c>
      <c r="D574" s="30">
        <f>VLOOKUP($C574,Asignaturas!$C$5:$D$261,2,0)</f>
        <v>0</v>
      </c>
      <c r="E574" s="95"/>
      <c r="F574" s="23"/>
      <c r="G574" s="31"/>
      <c r="H574" s="31"/>
      <c r="I574" s="23"/>
      <c r="J574" s="36">
        <f>+Tabla2[[#This Row],[DÍA DE ENTREGA]]+10</f>
        <v>10</v>
      </c>
      <c r="K574" s="23"/>
      <c r="L574" s="99"/>
      <c r="M574" s="29"/>
      <c r="N574" s="29"/>
    </row>
    <row r="575" spans="1:14" ht="31.5" customHeight="1">
      <c r="A575" s="29"/>
      <c r="B575" s="29"/>
      <c r="C575" s="29" t="str">
        <f>A575&amp;B575</f>
        <v/>
      </c>
      <c r="D575" s="30">
        <f>VLOOKUP($C575,Asignaturas!$C$5:$D$261,2,0)</f>
        <v>0</v>
      </c>
      <c r="E575" s="95"/>
      <c r="F575" s="23"/>
      <c r="G575" s="31"/>
      <c r="H575" s="31"/>
      <c r="I575" s="23"/>
      <c r="J575" s="36">
        <f>+Tabla2[[#This Row],[DÍA DE ENTREGA]]+10</f>
        <v>10</v>
      </c>
      <c r="K575" s="23"/>
      <c r="L575" s="99"/>
      <c r="M575" s="29"/>
      <c r="N575" s="29"/>
    </row>
    <row r="576" spans="1:14" ht="31.5" customHeight="1">
      <c r="A576" s="29"/>
      <c r="B576" s="29"/>
      <c r="C576" s="29" t="str">
        <f>A576&amp;B576</f>
        <v/>
      </c>
      <c r="D576" s="30">
        <f>VLOOKUP($C576,Asignaturas!$C$5:$D$261,2,0)</f>
        <v>0</v>
      </c>
      <c r="E576" s="95"/>
      <c r="F576" s="23"/>
      <c r="G576" s="31"/>
      <c r="H576" s="31"/>
      <c r="I576" s="23"/>
      <c r="J576" s="36">
        <f>+Tabla2[[#This Row],[DÍA DE ENTREGA]]+10</f>
        <v>10</v>
      </c>
      <c r="K576" s="23"/>
      <c r="L576" s="99"/>
      <c r="M576" s="29"/>
      <c r="N576" s="29"/>
    </row>
    <row r="577" spans="1:14" ht="31.5" customHeight="1">
      <c r="A577" s="29"/>
      <c r="B577" s="29"/>
      <c r="C577" s="29" t="str">
        <f>A577&amp;B577</f>
        <v/>
      </c>
      <c r="D577" s="30">
        <f>VLOOKUP($C577,Asignaturas!$C$5:$D$261,2,0)</f>
        <v>0</v>
      </c>
      <c r="E577" s="95"/>
      <c r="F577" s="23"/>
      <c r="G577" s="31"/>
      <c r="H577" s="31"/>
      <c r="I577" s="23"/>
      <c r="J577" s="36">
        <f>+Tabla2[[#This Row],[DÍA DE ENTREGA]]+10</f>
        <v>10</v>
      </c>
      <c r="K577" s="23"/>
      <c r="L577" s="99"/>
      <c r="M577" s="29"/>
      <c r="N577" s="29"/>
    </row>
    <row r="578" spans="1:14" ht="31.5" customHeight="1">
      <c r="A578" s="29"/>
      <c r="B578" s="29"/>
      <c r="C578" s="29" t="str">
        <f>A578&amp;B578</f>
        <v/>
      </c>
      <c r="D578" s="30">
        <f>VLOOKUP($C578,Asignaturas!$C$5:$D$261,2,0)</f>
        <v>0</v>
      </c>
      <c r="E578" s="95"/>
      <c r="F578" s="23"/>
      <c r="G578" s="31"/>
      <c r="H578" s="31"/>
      <c r="I578" s="23"/>
      <c r="J578" s="36">
        <f>+Tabla2[[#This Row],[DÍA DE ENTREGA]]+10</f>
        <v>10</v>
      </c>
      <c r="K578" s="23"/>
      <c r="L578" s="99"/>
      <c r="M578" s="29"/>
      <c r="N578" s="29"/>
    </row>
    <row r="579" spans="1:14" ht="31.5" customHeight="1">
      <c r="A579" s="29"/>
      <c r="B579" s="29"/>
      <c r="C579" s="29" t="str">
        <f>A579&amp;B579</f>
        <v/>
      </c>
      <c r="D579" s="30">
        <f>VLOOKUP($C579,Asignaturas!$C$5:$D$261,2,0)</f>
        <v>0</v>
      </c>
      <c r="E579" s="95"/>
      <c r="F579" s="23"/>
      <c r="G579" s="31"/>
      <c r="H579" s="31"/>
      <c r="I579" s="23"/>
      <c r="J579" s="36">
        <f>+Tabla2[[#This Row],[DÍA DE ENTREGA]]+10</f>
        <v>10</v>
      </c>
      <c r="K579" s="23"/>
      <c r="L579" s="99"/>
      <c r="M579" s="29"/>
      <c r="N579" s="29"/>
    </row>
    <row r="580" spans="1:14" ht="31.5" customHeight="1">
      <c r="A580" s="29"/>
      <c r="B580" s="29"/>
      <c r="C580" s="29" t="str">
        <f>A580&amp;B580</f>
        <v/>
      </c>
      <c r="D580" s="30">
        <f>VLOOKUP($C580,Asignaturas!$C$5:$D$261,2,0)</f>
        <v>0</v>
      </c>
      <c r="E580" s="95"/>
      <c r="F580" s="23"/>
      <c r="G580" s="31"/>
      <c r="H580" s="31"/>
      <c r="I580" s="23"/>
      <c r="J580" s="36">
        <f>+Tabla2[[#This Row],[DÍA DE ENTREGA]]+10</f>
        <v>10</v>
      </c>
      <c r="K580" s="23"/>
      <c r="L580" s="99"/>
      <c r="M580" s="29"/>
      <c r="N580" s="29"/>
    </row>
    <row r="581" spans="1:14" ht="31.5" customHeight="1">
      <c r="A581" s="29"/>
      <c r="B581" s="29"/>
      <c r="C581" s="29" t="str">
        <f>A581&amp;B581</f>
        <v/>
      </c>
      <c r="D581" s="30">
        <f>VLOOKUP($C581,Asignaturas!$C$5:$D$261,2,0)</f>
        <v>0</v>
      </c>
      <c r="E581" s="95"/>
      <c r="F581" s="23"/>
      <c r="G581" s="31"/>
      <c r="H581" s="31"/>
      <c r="I581" s="23"/>
      <c r="J581" s="36">
        <v>45992</v>
      </c>
      <c r="K581" s="23"/>
      <c r="L581" s="99"/>
      <c r="M581" s="29"/>
      <c r="N581" s="29"/>
    </row>
    <row r="582" spans="1:14" ht="31.5" customHeight="1">
      <c r="A582" s="29"/>
      <c r="B582" s="29"/>
      <c r="C582" s="29" t="str">
        <f>A582&amp;B582</f>
        <v/>
      </c>
      <c r="D582" s="30">
        <f>VLOOKUP($C582,Asignaturas!$C$5:$D$261,2,0)</f>
        <v>0</v>
      </c>
      <c r="E582" s="95"/>
      <c r="F582" s="23"/>
      <c r="G582" s="31"/>
      <c r="H582" s="31"/>
      <c r="I582" s="23"/>
      <c r="J582" s="36">
        <f>+Tabla2[[#This Row],[DÍA DE ENTREGA]]+8</f>
        <v>8</v>
      </c>
      <c r="K582" s="23"/>
      <c r="L582" s="100"/>
      <c r="M582" s="29"/>
      <c r="N582" s="29"/>
    </row>
    <row r="583" spans="1:14" ht="31.5" customHeight="1">
      <c r="A583" s="29"/>
      <c r="B583" s="29"/>
      <c r="C583" s="29" t="str">
        <f>A583&amp;B583</f>
        <v/>
      </c>
      <c r="D583" s="30">
        <f>VLOOKUP($C583,Asignaturas!$C$5:$D$261,2,0)</f>
        <v>0</v>
      </c>
      <c r="E583" s="95"/>
      <c r="F583" s="23"/>
      <c r="G583" s="31"/>
      <c r="H583" s="31"/>
      <c r="I583" s="23"/>
      <c r="J583" s="36">
        <f>+Tabla2[[#This Row],[DÍA DE ENTREGA]]+8</f>
        <v>8</v>
      </c>
      <c r="K583" s="23"/>
      <c r="L583" s="100"/>
      <c r="M583" s="29"/>
      <c r="N583" s="29"/>
    </row>
    <row r="584" spans="1:14" ht="31.5" customHeight="1">
      <c r="A584" s="29"/>
      <c r="B584" s="29"/>
      <c r="C584" s="29" t="str">
        <f>A584&amp;B584</f>
        <v/>
      </c>
      <c r="D584" s="30">
        <f>VLOOKUP($C584,Asignaturas!$C$5:$D$261,2,0)</f>
        <v>0</v>
      </c>
      <c r="E584" s="95"/>
      <c r="F584" s="23"/>
      <c r="G584" s="31"/>
      <c r="H584" s="31"/>
      <c r="I584" s="23"/>
      <c r="J584" s="36">
        <f>+Tabla2[[#This Row],[DÍA DE ENTREGA]]+8</f>
        <v>8</v>
      </c>
      <c r="K584" s="23"/>
      <c r="L584" s="100"/>
      <c r="M584" s="41"/>
      <c r="N584" s="29"/>
    </row>
    <row r="585" spans="1:14" ht="31.5" customHeight="1">
      <c r="A585" s="29"/>
      <c r="B585" s="29"/>
      <c r="C585" s="29" t="str">
        <f>A585&amp;B585</f>
        <v/>
      </c>
      <c r="D585" s="30">
        <f>VLOOKUP($C585,Asignaturas!$C$5:$D$261,2,0)</f>
        <v>0</v>
      </c>
      <c r="E585" s="95"/>
      <c r="F585" s="23"/>
      <c r="G585" s="31"/>
      <c r="H585" s="31"/>
      <c r="I585" s="23"/>
      <c r="J585" s="36">
        <f>+Tabla2[[#This Row],[DÍA DE ENTREGA]]+8</f>
        <v>8</v>
      </c>
      <c r="K585" s="23"/>
      <c r="L585" s="100"/>
      <c r="M585" s="41"/>
      <c r="N585" s="29"/>
    </row>
    <row r="586" spans="1:14" ht="31.5" customHeight="1">
      <c r="A586" s="29"/>
      <c r="B586" s="29"/>
      <c r="C586" s="29" t="str">
        <f>A586&amp;B586</f>
        <v/>
      </c>
      <c r="D586" s="30">
        <f>VLOOKUP($C586,Asignaturas!$C$5:$D$261,2,0)</f>
        <v>0</v>
      </c>
      <c r="E586" s="95"/>
      <c r="F586" s="23"/>
      <c r="G586" s="31"/>
      <c r="H586" s="31"/>
      <c r="I586" s="23"/>
      <c r="J586" s="36">
        <f>+Tabla2[[#This Row],[DÍA DE ENTREGA]]+8</f>
        <v>8</v>
      </c>
      <c r="K586" s="23"/>
      <c r="L586" s="100"/>
      <c r="M586" s="29"/>
      <c r="N586" s="29"/>
    </row>
    <row r="587" spans="1:14" ht="31.5" customHeight="1">
      <c r="A587" s="29"/>
      <c r="B587" s="29"/>
      <c r="C587" s="29" t="str">
        <f>A587&amp;B587</f>
        <v/>
      </c>
      <c r="D587" s="30">
        <f>VLOOKUP($C587,Asignaturas!$C$5:$D$261,2,0)</f>
        <v>0</v>
      </c>
      <c r="E587" s="95"/>
      <c r="F587" s="23"/>
      <c r="G587" s="31"/>
      <c r="H587" s="31"/>
      <c r="I587" s="23"/>
      <c r="J587" s="36">
        <f>+Tabla2[[#This Row],[DÍA DE ENTREGA]]+8</f>
        <v>8</v>
      </c>
      <c r="K587" s="23"/>
      <c r="L587" s="99"/>
      <c r="M587" s="29"/>
      <c r="N587" s="29"/>
    </row>
    <row r="588" spans="1:14" ht="31.5" customHeight="1">
      <c r="A588" s="29"/>
      <c r="B588" s="29"/>
      <c r="C588" s="29" t="str">
        <f>A588&amp;B588</f>
        <v/>
      </c>
      <c r="D588" s="30">
        <f>VLOOKUP($C588,Asignaturas!$C$5:$D$261,2,0)</f>
        <v>0</v>
      </c>
      <c r="E588" s="95"/>
      <c r="F588" s="23"/>
      <c r="G588" s="31"/>
      <c r="H588" s="31"/>
      <c r="I588" s="23"/>
      <c r="J588" s="36">
        <f>+Tabla2[[#This Row],[DÍA DE ENTREGA]]+8</f>
        <v>8</v>
      </c>
      <c r="K588" s="23"/>
      <c r="L588" s="99"/>
      <c r="M588" s="29"/>
      <c r="N588" s="29"/>
    </row>
    <row r="589" spans="1:14" ht="31.5" customHeight="1">
      <c r="A589" s="29"/>
      <c r="B589" s="29"/>
      <c r="C589" s="29" t="str">
        <f>A589&amp;B589</f>
        <v/>
      </c>
      <c r="D589" s="30">
        <f>VLOOKUP($C589,Asignaturas!$C$5:$D$261,2,0)</f>
        <v>0</v>
      </c>
      <c r="E589" s="95"/>
      <c r="F589" s="23"/>
      <c r="G589" s="31"/>
      <c r="H589" s="31"/>
      <c r="I589" s="23"/>
      <c r="J589" s="36">
        <f>+Tabla2[[#This Row],[DÍA DE ENTREGA]]+8</f>
        <v>8</v>
      </c>
      <c r="K589" s="23"/>
      <c r="L589" s="99"/>
      <c r="M589" s="29"/>
      <c r="N589" s="29"/>
    </row>
    <row r="590" spans="1:14" ht="31.5" customHeight="1">
      <c r="A590" s="29"/>
      <c r="B590" s="29"/>
      <c r="C590" s="29" t="str">
        <f>A590&amp;B590</f>
        <v/>
      </c>
      <c r="D590" s="30">
        <f>VLOOKUP($C590,Asignaturas!$C$5:$D$261,2,0)</f>
        <v>0</v>
      </c>
      <c r="E590" s="95"/>
      <c r="F590" s="23"/>
      <c r="G590" s="31"/>
      <c r="H590" s="31"/>
      <c r="I590" s="23"/>
      <c r="J590" s="36">
        <f>+Tabla2[[#This Row],[DÍA DE ENTREGA]]+8</f>
        <v>8</v>
      </c>
      <c r="K590" s="23"/>
      <c r="L590" s="99"/>
      <c r="M590" s="29"/>
      <c r="N590" s="29"/>
    </row>
    <row r="591" spans="1:14" ht="31.5" customHeight="1">
      <c r="A591" s="29"/>
      <c r="B591" s="29"/>
      <c r="C591" s="29" t="str">
        <f>A591&amp;B591</f>
        <v/>
      </c>
      <c r="D591" s="30">
        <f>VLOOKUP($C591,Asignaturas!$C$5:$D$261,2,0)</f>
        <v>0</v>
      </c>
      <c r="E591" s="95"/>
      <c r="F591" s="23"/>
      <c r="G591" s="31"/>
      <c r="H591" s="31"/>
      <c r="I591" s="23"/>
      <c r="J591" s="36">
        <f>+Tabla2[[#This Row],[DÍA DE ENTREGA]]+8</f>
        <v>8</v>
      </c>
      <c r="K591" s="23"/>
      <c r="L591" s="99"/>
      <c r="M591" s="29"/>
      <c r="N591" s="29"/>
    </row>
    <row r="592" spans="1:14" ht="31.5" customHeight="1">
      <c r="A592" s="29"/>
      <c r="B592" s="29"/>
      <c r="C592" s="29" t="str">
        <f>A592&amp;B592</f>
        <v/>
      </c>
      <c r="D592" s="30">
        <f>VLOOKUP($C592,Asignaturas!$C$5:$D$261,2,0)</f>
        <v>0</v>
      </c>
      <c r="E592" s="95"/>
      <c r="F592" s="23"/>
      <c r="G592" s="31"/>
      <c r="H592" s="31"/>
      <c r="I592" s="23"/>
      <c r="J592" s="36">
        <f>+Tabla2[[#This Row],[DÍA DE ENTREGA]]+8</f>
        <v>8</v>
      </c>
      <c r="K592" s="23"/>
      <c r="L592" s="99"/>
      <c r="M592" s="29"/>
      <c r="N592" s="29"/>
    </row>
    <row r="593" spans="1:14" ht="31.5" customHeight="1">
      <c r="A593" s="29"/>
      <c r="B593" s="29"/>
      <c r="C593" s="29" t="str">
        <f>A593&amp;B593</f>
        <v/>
      </c>
      <c r="D593" s="30">
        <f>VLOOKUP($C593,Asignaturas!$C$5:$D$261,2,0)</f>
        <v>0</v>
      </c>
      <c r="E593" s="95"/>
      <c r="F593" s="23"/>
      <c r="G593" s="31"/>
      <c r="H593" s="31"/>
      <c r="I593" s="23"/>
      <c r="J593" s="36">
        <f>+Tabla2[[#This Row],[DÍA DE ENTREGA]]+8</f>
        <v>8</v>
      </c>
      <c r="K593" s="23"/>
      <c r="L593" s="99"/>
      <c r="M593" s="29"/>
      <c r="N593" s="29"/>
    </row>
    <row r="594" spans="1:14" ht="31.5" customHeight="1">
      <c r="A594" s="29"/>
      <c r="B594" s="29"/>
      <c r="C594" s="29" t="str">
        <f>A594&amp;B594</f>
        <v/>
      </c>
      <c r="D594" s="30">
        <f>VLOOKUP($C594,Asignaturas!$C$5:$D$261,2,0)</f>
        <v>0</v>
      </c>
      <c r="E594" s="95"/>
      <c r="F594" s="23"/>
      <c r="G594" s="31"/>
      <c r="H594" s="31"/>
      <c r="I594" s="23"/>
      <c r="J594" s="36">
        <f>+Tabla2[[#This Row],[DÍA DE ENTREGA]]+8</f>
        <v>8</v>
      </c>
      <c r="K594" s="23"/>
      <c r="L594" s="99"/>
      <c r="M594" s="29"/>
      <c r="N594" s="29"/>
    </row>
    <row r="595" spans="1:14" ht="31.5" customHeight="1">
      <c r="A595" s="29"/>
      <c r="B595" s="29"/>
      <c r="C595" s="29" t="str">
        <f>A595&amp;B595</f>
        <v/>
      </c>
      <c r="D595" s="30">
        <f>VLOOKUP($C595,Asignaturas!$C$5:$D$261,2,0)</f>
        <v>0</v>
      </c>
      <c r="E595" s="95"/>
      <c r="F595" s="23"/>
      <c r="G595" s="31"/>
      <c r="H595" s="31"/>
      <c r="I595" s="23"/>
      <c r="J595" s="36">
        <f>+Tabla2[[#This Row],[DÍA DE ENTREGA]]+8</f>
        <v>8</v>
      </c>
      <c r="K595" s="23"/>
      <c r="L595" s="99"/>
      <c r="M595" s="29"/>
      <c r="N595" s="29"/>
    </row>
    <row r="596" spans="1:14" ht="31.5" customHeight="1">
      <c r="A596" s="29"/>
      <c r="B596" s="29"/>
      <c r="C596" s="29" t="str">
        <f>A596&amp;B596</f>
        <v/>
      </c>
      <c r="D596" s="30">
        <f>VLOOKUP($C596,Asignaturas!$C$5:$D$261,2,0)</f>
        <v>0</v>
      </c>
      <c r="E596" s="95"/>
      <c r="F596" s="23"/>
      <c r="G596" s="31"/>
      <c r="H596" s="31"/>
      <c r="I596" s="23"/>
      <c r="J596" s="36">
        <f>+Tabla2[[#This Row],[DÍA DE ENTREGA]]+8</f>
        <v>8</v>
      </c>
      <c r="K596" s="23"/>
      <c r="L596" s="99"/>
      <c r="M596" s="29"/>
      <c r="N596" s="29"/>
    </row>
    <row r="597" spans="1:14" ht="31.5" customHeight="1">
      <c r="A597" s="29"/>
      <c r="B597" s="29"/>
      <c r="C597" s="29" t="str">
        <f>A597&amp;B597</f>
        <v/>
      </c>
      <c r="D597" s="30">
        <f>VLOOKUP($C597,Asignaturas!$C$5:$D$261,2,0)</f>
        <v>0</v>
      </c>
      <c r="E597" s="95"/>
      <c r="F597" s="23"/>
      <c r="G597" s="31"/>
      <c r="H597" s="31"/>
      <c r="I597" s="23"/>
      <c r="J597" s="36">
        <f>+Tabla2[[#This Row],[DÍA DE ENTREGA]]+8</f>
        <v>8</v>
      </c>
      <c r="K597" s="23"/>
      <c r="L597" s="99"/>
      <c r="M597" s="29"/>
      <c r="N597" s="29"/>
    </row>
    <row r="598" spans="1:14" ht="31.5" customHeight="1">
      <c r="A598" s="29"/>
      <c r="B598" s="29"/>
      <c r="C598" s="29" t="str">
        <f>A598&amp;B598</f>
        <v/>
      </c>
      <c r="D598" s="30">
        <f>VLOOKUP($C598,Asignaturas!$C$5:$D$261,2,0)</f>
        <v>0</v>
      </c>
      <c r="E598" s="95"/>
      <c r="F598" s="23"/>
      <c r="G598" s="31"/>
      <c r="H598" s="31"/>
      <c r="I598" s="23"/>
      <c r="J598" s="36">
        <f>+Tabla2[[#This Row],[DÍA DE ENTREGA]]+8</f>
        <v>8</v>
      </c>
      <c r="K598" s="23"/>
      <c r="L598" s="99"/>
      <c r="M598" s="29"/>
      <c r="N598" s="29"/>
    </row>
    <row r="599" spans="1:14" ht="31.5" customHeight="1">
      <c r="A599" s="29"/>
      <c r="B599" s="29"/>
      <c r="C599" s="29" t="str">
        <f>A599&amp;B599</f>
        <v/>
      </c>
      <c r="D599" s="30">
        <f>VLOOKUP($C599,Asignaturas!$C$5:$D$261,2,0)</f>
        <v>0</v>
      </c>
      <c r="E599" s="95"/>
      <c r="F599" s="23"/>
      <c r="G599" s="31"/>
      <c r="H599" s="31"/>
      <c r="I599" s="23"/>
      <c r="J599" s="36">
        <f>+Tabla2[[#This Row],[DÍA DE ENTREGA]]+8</f>
        <v>8</v>
      </c>
      <c r="K599" s="23"/>
      <c r="L599" s="99"/>
      <c r="M599" s="29"/>
      <c r="N599" s="29"/>
    </row>
    <row r="600" spans="1:14" ht="31.5" customHeight="1">
      <c r="A600" s="29"/>
      <c r="B600" s="29"/>
      <c r="C600" s="29" t="str">
        <f>A600&amp;B600</f>
        <v/>
      </c>
      <c r="D600" s="30">
        <f>VLOOKUP($C600,Asignaturas!$C$5:$D$261,2,0)</f>
        <v>0</v>
      </c>
      <c r="E600" s="95"/>
      <c r="F600" s="23"/>
      <c r="G600" s="31"/>
      <c r="H600" s="31"/>
      <c r="I600" s="23"/>
      <c r="J600" s="36">
        <f>+Tabla2[[#This Row],[DÍA DE ENTREGA]]+8</f>
        <v>8</v>
      </c>
      <c r="K600" s="23"/>
      <c r="L600" s="99"/>
      <c r="M600" s="29"/>
      <c r="N600" s="29"/>
    </row>
    <row r="601" spans="1:14" ht="31.5" customHeight="1">
      <c r="A601" s="29"/>
      <c r="B601" s="29"/>
      <c r="C601" s="29" t="str">
        <f>A601&amp;B601</f>
        <v/>
      </c>
      <c r="D601" s="30">
        <f>VLOOKUP($C601,Asignaturas!$C$5:$D$261,2,0)</f>
        <v>0</v>
      </c>
      <c r="E601" s="95"/>
      <c r="F601" s="23"/>
      <c r="G601" s="31"/>
      <c r="H601" s="31"/>
      <c r="I601" s="23"/>
      <c r="J601" s="36">
        <f>+Tabla2[[#This Row],[DÍA DE ENTREGA]]+8</f>
        <v>8</v>
      </c>
      <c r="K601" s="23"/>
      <c r="L601" s="99"/>
      <c r="M601" s="29"/>
      <c r="N601" s="29"/>
    </row>
    <row r="602" spans="1:14" ht="31.5" customHeight="1">
      <c r="A602" s="29"/>
      <c r="B602" s="29"/>
      <c r="C602" s="29" t="str">
        <f>A602&amp;B602</f>
        <v/>
      </c>
      <c r="D602" s="30">
        <f>VLOOKUP($C602,Asignaturas!$C$5:$D$261,2,0)</f>
        <v>0</v>
      </c>
      <c r="E602" s="95"/>
      <c r="F602" s="23"/>
      <c r="G602" s="31"/>
      <c r="H602" s="31"/>
      <c r="I602" s="23"/>
      <c r="J602" s="36">
        <f>+Tabla2[[#This Row],[DÍA DE ENTREGA]]+8</f>
        <v>8</v>
      </c>
      <c r="K602" s="23"/>
      <c r="L602" s="99"/>
      <c r="M602" s="29"/>
      <c r="N602" s="29"/>
    </row>
    <row r="603" spans="1:14" ht="31.5" customHeight="1">
      <c r="A603" s="29"/>
      <c r="B603" s="29"/>
      <c r="C603" s="29" t="str">
        <f>A603&amp;B603</f>
        <v/>
      </c>
      <c r="D603" s="30">
        <f>VLOOKUP($C603,Asignaturas!$C$5:$D$261,2,0)</f>
        <v>0</v>
      </c>
      <c r="E603" s="95"/>
      <c r="F603" s="23"/>
      <c r="G603" s="31"/>
      <c r="H603" s="31"/>
      <c r="I603" s="23"/>
      <c r="J603" s="36">
        <f>+Tabla2[[#This Row],[DÍA DE ENTREGA]]+8</f>
        <v>8</v>
      </c>
      <c r="K603" s="23"/>
      <c r="L603" s="99"/>
      <c r="M603" s="29"/>
      <c r="N603" s="29"/>
    </row>
    <row r="604" spans="1:14" ht="31.5" customHeight="1">
      <c r="A604" s="29"/>
      <c r="B604" s="29"/>
      <c r="C604" s="29" t="str">
        <f>A604&amp;B604</f>
        <v/>
      </c>
      <c r="D604" s="30">
        <f>VLOOKUP($C604,Asignaturas!$C$5:$D$261,2,0)</f>
        <v>0</v>
      </c>
      <c r="E604" s="95"/>
      <c r="F604" s="23"/>
      <c r="G604" s="31"/>
      <c r="H604" s="31"/>
      <c r="I604" s="23"/>
      <c r="J604" s="36">
        <f>+Tabla2[[#This Row],[DÍA DE ENTREGA]]+8</f>
        <v>8</v>
      </c>
      <c r="K604" s="23"/>
      <c r="L604" s="99"/>
      <c r="M604" s="44"/>
      <c r="N604" s="29"/>
    </row>
    <row r="605" spans="1:14" ht="31.5" customHeight="1">
      <c r="A605" s="29"/>
      <c r="B605" s="29"/>
      <c r="C605" s="29" t="str">
        <f>A605&amp;B605</f>
        <v/>
      </c>
      <c r="D605" s="30">
        <f>VLOOKUP($C605,Asignaturas!$C$5:$D$261,2,0)</f>
        <v>0</v>
      </c>
      <c r="E605" s="95"/>
      <c r="F605" s="23"/>
      <c r="G605" s="31"/>
      <c r="H605" s="31"/>
      <c r="I605" s="23"/>
      <c r="J605" s="36">
        <f>+Tabla2[[#This Row],[DÍA DE ENTREGA]]+8</f>
        <v>8</v>
      </c>
      <c r="K605" s="23"/>
      <c r="L605" s="99"/>
      <c r="M605" s="44"/>
      <c r="N605" s="29"/>
    </row>
    <row r="606" spans="1:14" ht="31.5" customHeight="1">
      <c r="A606" s="29"/>
      <c r="B606" s="29"/>
      <c r="C606" s="29" t="str">
        <f>A606&amp;B606</f>
        <v/>
      </c>
      <c r="D606" s="30">
        <f>VLOOKUP($C606,Asignaturas!$C$5:$D$261,2,0)</f>
        <v>0</v>
      </c>
      <c r="E606" s="95"/>
      <c r="F606" s="23"/>
      <c r="G606" s="31"/>
      <c r="H606" s="31"/>
      <c r="I606" s="23"/>
      <c r="J606" s="36">
        <f>+Tabla2[[#This Row],[DÍA DE ENTREGA]]+8</f>
        <v>8</v>
      </c>
      <c r="K606" s="23"/>
      <c r="L606" s="99"/>
      <c r="M606" s="29"/>
      <c r="N606" s="29"/>
    </row>
    <row r="607" spans="1:14" ht="31.5" customHeight="1">
      <c r="A607" s="29"/>
      <c r="B607" s="29"/>
      <c r="C607" s="29" t="str">
        <f>A607&amp;B607</f>
        <v/>
      </c>
      <c r="D607" s="30">
        <f>VLOOKUP($C607,Asignaturas!$C$5:$D$261,2,0)</f>
        <v>0</v>
      </c>
      <c r="E607" s="95"/>
      <c r="F607" s="23"/>
      <c r="G607" s="31"/>
      <c r="H607" s="31"/>
      <c r="I607" s="23"/>
      <c r="J607" s="36">
        <f>+Tabla2[[#This Row],[DÍA DE ENTREGA]]+8</f>
        <v>8</v>
      </c>
      <c r="K607" s="23"/>
      <c r="L607" s="99"/>
      <c r="M607" s="29"/>
      <c r="N607" s="29"/>
    </row>
    <row r="608" spans="1:14" ht="31.5" customHeight="1">
      <c r="A608" s="29"/>
      <c r="B608" s="29"/>
      <c r="C608" s="29" t="str">
        <f>A608&amp;B608</f>
        <v/>
      </c>
      <c r="D608" s="30">
        <f>VLOOKUP($C608,Asignaturas!$C$5:$D$261,2,0)</f>
        <v>0</v>
      </c>
      <c r="E608" s="95"/>
      <c r="F608" s="23"/>
      <c r="G608" s="31"/>
      <c r="H608" s="31"/>
      <c r="I608" s="23"/>
      <c r="J608" s="36">
        <f>+Tabla2[[#This Row],[DÍA DE ENTREGA]]+8</f>
        <v>8</v>
      </c>
      <c r="K608" s="23"/>
      <c r="L608" s="99"/>
      <c r="M608" s="29"/>
      <c r="N608" s="29"/>
    </row>
    <row r="609" spans="1:14" ht="31.5" customHeight="1">
      <c r="A609" s="29"/>
      <c r="B609" s="29"/>
      <c r="C609" s="29" t="str">
        <f>A609&amp;B609</f>
        <v/>
      </c>
      <c r="D609" s="30">
        <f>VLOOKUP($C609,Asignaturas!$C$5:$D$261,2,0)</f>
        <v>0</v>
      </c>
      <c r="E609" s="95"/>
      <c r="F609" s="23"/>
      <c r="G609" s="31"/>
      <c r="H609" s="31"/>
      <c r="I609" s="23"/>
      <c r="J609" s="36">
        <f>+Tabla2[[#This Row],[DÍA DE ENTREGA]]+8</f>
        <v>8</v>
      </c>
      <c r="K609" s="23"/>
      <c r="L609" s="99"/>
      <c r="M609" s="44"/>
      <c r="N609" s="29"/>
    </row>
    <row r="610" spans="1:14" ht="31.5" customHeight="1">
      <c r="A610" s="29"/>
      <c r="B610" s="29"/>
      <c r="C610" s="29" t="str">
        <f>A610&amp;B610</f>
        <v/>
      </c>
      <c r="D610" s="30">
        <f>VLOOKUP($C610,Asignaturas!$C$5:$D$261,2,0)</f>
        <v>0</v>
      </c>
      <c r="E610" s="95"/>
      <c r="F610" s="23"/>
      <c r="G610" s="31"/>
      <c r="H610" s="31"/>
      <c r="I610" s="23"/>
      <c r="J610" s="36">
        <f>+Tabla2[[#This Row],[DÍA DE ENTREGA]]+8</f>
        <v>8</v>
      </c>
      <c r="K610" s="23"/>
      <c r="L610" s="99"/>
      <c r="M610" s="29"/>
      <c r="N610" s="29"/>
    </row>
    <row r="611" spans="1:14" ht="31.5" customHeight="1">
      <c r="A611" s="29"/>
      <c r="B611" s="29"/>
      <c r="C611" s="29" t="str">
        <f>A611&amp;B611</f>
        <v/>
      </c>
      <c r="D611" s="30">
        <f>VLOOKUP($C611,Asignaturas!$C$5:$D$261,2,0)</f>
        <v>0</v>
      </c>
      <c r="E611" s="95"/>
      <c r="F611" s="23"/>
      <c r="G611" s="31"/>
      <c r="H611" s="31"/>
      <c r="I611" s="23"/>
      <c r="J611" s="36">
        <f>+Tabla2[[#This Row],[DÍA DE ENTREGA]]+8</f>
        <v>8</v>
      </c>
      <c r="K611" s="23"/>
      <c r="L611" s="99"/>
      <c r="M611" s="29"/>
      <c r="N611" s="29"/>
    </row>
    <row r="612" spans="1:14" ht="31.5" customHeight="1">
      <c r="A612" s="29"/>
      <c r="B612" s="29"/>
      <c r="C612" s="29" t="str">
        <f>A612&amp;B612</f>
        <v/>
      </c>
      <c r="D612" s="30">
        <f>VLOOKUP($C612,Asignaturas!$C$5:$D$261,2,0)</f>
        <v>0</v>
      </c>
      <c r="E612" s="95"/>
      <c r="F612" s="23"/>
      <c r="G612" s="31"/>
      <c r="H612" s="31"/>
      <c r="I612" s="23"/>
      <c r="J612" s="36">
        <f>+Tabla2[[#This Row],[DÍA DE ENTREGA]]+8</f>
        <v>8</v>
      </c>
      <c r="K612" s="23"/>
      <c r="L612" s="99"/>
      <c r="M612" s="29"/>
      <c r="N612" s="29"/>
    </row>
    <row r="613" spans="1:14" ht="27.75" customHeight="1">
      <c r="A613" s="29"/>
      <c r="B613" s="29"/>
      <c r="C613" s="29" t="str">
        <f>A613&amp;B613</f>
        <v/>
      </c>
      <c r="D613" s="30">
        <f>VLOOKUP($C613,Asignaturas!$C$5:$D$261,2,0)</f>
        <v>0</v>
      </c>
      <c r="E613" s="95"/>
      <c r="F613" s="23"/>
      <c r="G613" s="31"/>
      <c r="H613" s="31"/>
      <c r="I613" s="23"/>
      <c r="J613" s="36">
        <f>+Tabla2[[#This Row],[DÍA DE ENTREGA]]+8</f>
        <v>8</v>
      </c>
      <c r="K613" s="23"/>
      <c r="L613" s="99"/>
      <c r="M613" s="29"/>
      <c r="N613" s="29"/>
    </row>
    <row r="614" spans="1:14" ht="27.75" customHeight="1">
      <c r="A614" s="29"/>
      <c r="B614" s="29"/>
      <c r="C614" s="29" t="str">
        <f>A614&amp;B614</f>
        <v/>
      </c>
      <c r="D614" s="30">
        <f>VLOOKUP($C614,Asignaturas!$C$5:$D$261,2,0)</f>
        <v>0</v>
      </c>
      <c r="E614" s="95"/>
      <c r="F614" s="23"/>
      <c r="G614" s="31"/>
      <c r="H614" s="31"/>
      <c r="I614" s="23"/>
      <c r="J614" s="36">
        <f>+Tabla2[[#This Row],[DÍA DE ENTREGA]]+8</f>
        <v>8</v>
      </c>
      <c r="K614" s="23"/>
      <c r="L614" s="99"/>
      <c r="M614" s="65"/>
      <c r="N614" s="29"/>
    </row>
    <row r="615" spans="1:14" ht="27.75" customHeight="1">
      <c r="A615" s="29"/>
      <c r="B615" s="29"/>
      <c r="C615" s="29" t="str">
        <f>A615&amp;B615</f>
        <v/>
      </c>
      <c r="D615" s="30">
        <f>VLOOKUP($C615,Asignaturas!$C$5:$D$261,2,0)</f>
        <v>0</v>
      </c>
      <c r="E615" s="95"/>
      <c r="F615" s="23"/>
      <c r="G615" s="31"/>
      <c r="H615" s="31"/>
      <c r="I615" s="23"/>
      <c r="J615" s="36">
        <f>+Tabla2[[#This Row],[DÍA DE ENTREGA]]+8</f>
        <v>8</v>
      </c>
      <c r="K615" s="23"/>
      <c r="L615" s="99"/>
      <c r="M615" s="29"/>
      <c r="N615" s="29"/>
    </row>
    <row r="616" spans="1:14" ht="27.75" customHeight="1">
      <c r="A616" s="29"/>
      <c r="B616" s="29"/>
      <c r="C616" s="29" t="str">
        <f>A616&amp;B616</f>
        <v/>
      </c>
      <c r="D616" s="30">
        <f>VLOOKUP($C616,Asignaturas!$C$5:$D$261,2,0)</f>
        <v>0</v>
      </c>
      <c r="E616" s="95"/>
      <c r="F616" s="23"/>
      <c r="G616" s="31"/>
      <c r="H616" s="31"/>
      <c r="I616" s="23"/>
      <c r="J616" s="36">
        <f>+Tabla2[[#This Row],[DÍA DE ENTREGA]]+8</f>
        <v>8</v>
      </c>
      <c r="K616" s="23"/>
      <c r="L616" s="99"/>
      <c r="M616" s="29"/>
      <c r="N616" s="29"/>
    </row>
    <row r="617" spans="1:14" ht="27.75" customHeight="1">
      <c r="A617" s="29"/>
      <c r="B617" s="29"/>
      <c r="C617" s="29" t="str">
        <f>A617&amp;B617</f>
        <v/>
      </c>
      <c r="D617" s="30">
        <f>VLOOKUP($C617,Asignaturas!$C$5:$D$261,2,0)</f>
        <v>0</v>
      </c>
      <c r="E617" s="95"/>
      <c r="F617" s="23"/>
      <c r="G617" s="31"/>
      <c r="H617" s="31"/>
      <c r="I617" s="23"/>
      <c r="J617" s="36">
        <f>+Tabla2[[#This Row],[DÍA DE ENTREGA]]+8</f>
        <v>8</v>
      </c>
      <c r="K617" s="23"/>
      <c r="L617" s="99"/>
      <c r="M617" s="29"/>
      <c r="N617" s="29"/>
    </row>
    <row r="618" spans="1:14" ht="27.75" customHeight="1">
      <c r="A618" s="29"/>
      <c r="B618" s="29"/>
      <c r="C618" s="29" t="str">
        <f>A618&amp;B618</f>
        <v/>
      </c>
      <c r="D618" s="30">
        <f>VLOOKUP($C618,Asignaturas!$C$5:$D$261,2,0)</f>
        <v>0</v>
      </c>
      <c r="E618" s="95"/>
      <c r="F618" s="23"/>
      <c r="G618" s="31"/>
      <c r="H618" s="31"/>
      <c r="I618" s="23"/>
      <c r="J618" s="36">
        <f>+Tabla2[[#This Row],[DÍA DE ENTREGA]]+8</f>
        <v>8</v>
      </c>
      <c r="K618" s="23"/>
      <c r="L618" s="99"/>
      <c r="M618" s="29"/>
      <c r="N618" s="29"/>
    </row>
    <row r="619" spans="1:14" ht="27.75" customHeight="1">
      <c r="A619" s="29"/>
      <c r="B619" s="29"/>
      <c r="C619" s="29" t="str">
        <f>A619&amp;B619</f>
        <v/>
      </c>
      <c r="D619" s="30">
        <f>VLOOKUP($C619,Asignaturas!$C$5:$D$261,2,0)</f>
        <v>0</v>
      </c>
      <c r="E619" s="95"/>
      <c r="F619" s="23"/>
      <c r="G619" s="31"/>
      <c r="H619" s="31"/>
      <c r="I619" s="23"/>
      <c r="J619" s="36">
        <f>+Tabla2[[#This Row],[DÍA DE ENTREGA]]+8</f>
        <v>8</v>
      </c>
      <c r="K619" s="23"/>
      <c r="L619" s="99"/>
      <c r="M619" s="65"/>
      <c r="N619" s="29"/>
    </row>
    <row r="620" spans="1:14" ht="27.75" customHeight="1">
      <c r="A620" s="29"/>
      <c r="B620" s="29"/>
      <c r="C620" s="29" t="str">
        <f>A620&amp;B620</f>
        <v/>
      </c>
      <c r="D620" s="30">
        <f>VLOOKUP($C620,Asignaturas!$C$5:$D$261,2,0)</f>
        <v>0</v>
      </c>
      <c r="E620" s="95"/>
      <c r="F620" s="23"/>
      <c r="G620" s="31"/>
      <c r="H620" s="31"/>
      <c r="I620" s="23"/>
      <c r="J620" s="36">
        <f>+Tabla2[[#This Row],[DÍA DE ENTREGA]]+8</f>
        <v>8</v>
      </c>
      <c r="K620" s="23"/>
      <c r="L620" s="99"/>
      <c r="M620" s="65"/>
      <c r="N620" s="29"/>
    </row>
    <row r="621" spans="1:14" ht="27.75" customHeight="1">
      <c r="A621" s="29"/>
      <c r="B621" s="29"/>
      <c r="C621" s="29" t="str">
        <f>A621&amp;B621</f>
        <v/>
      </c>
      <c r="D621" s="30">
        <f>VLOOKUP($C621,Asignaturas!$C$5:$D$261,2,0)</f>
        <v>0</v>
      </c>
      <c r="E621" s="95"/>
      <c r="F621" s="23"/>
      <c r="G621" s="31"/>
      <c r="H621" s="31"/>
      <c r="I621" s="23"/>
      <c r="J621" s="36">
        <f>+Tabla2[[#This Row],[DÍA DE ENTREGA]]+8</f>
        <v>8</v>
      </c>
      <c r="K621" s="23"/>
      <c r="L621" s="99"/>
      <c r="M621" s="84"/>
      <c r="N621" s="29"/>
    </row>
    <row r="622" spans="1:14" ht="27.75" customHeight="1">
      <c r="A622" s="29"/>
      <c r="B622" s="29"/>
      <c r="C622" s="29" t="str">
        <f>A622&amp;B622</f>
        <v/>
      </c>
      <c r="D622" s="30">
        <f>VLOOKUP($C622,Asignaturas!$C$5:$D$261,2,0)</f>
        <v>0</v>
      </c>
      <c r="E622" s="95"/>
      <c r="F622" s="23"/>
      <c r="G622" s="31"/>
      <c r="H622" s="31"/>
      <c r="I622" s="23"/>
      <c r="J622" s="36">
        <f>+Tabla2[[#This Row],[DÍA DE ENTREGA]]+8</f>
        <v>8</v>
      </c>
      <c r="K622" s="23"/>
      <c r="L622" s="99"/>
      <c r="M622" s="84"/>
      <c r="N622" s="29"/>
    </row>
    <row r="623" spans="1:14" ht="27.75" customHeight="1">
      <c r="A623" s="29"/>
      <c r="B623" s="29"/>
      <c r="C623" s="29" t="str">
        <f>A623&amp;B623</f>
        <v/>
      </c>
      <c r="D623" s="30">
        <f>VLOOKUP($C623,Asignaturas!$C$5:$D$261,2,0)</f>
        <v>0</v>
      </c>
      <c r="E623" s="95"/>
      <c r="F623" s="23"/>
      <c r="G623" s="31"/>
      <c r="H623" s="31"/>
      <c r="I623" s="23"/>
      <c r="J623" s="36">
        <f>+Tabla2[[#This Row],[DÍA DE ENTREGA]]+8</f>
        <v>8</v>
      </c>
      <c r="K623" s="23"/>
      <c r="L623" s="99"/>
      <c r="M623" s="84"/>
      <c r="N623" s="29"/>
    </row>
    <row r="624" spans="1:14" ht="27.75" customHeight="1">
      <c r="A624" s="29"/>
      <c r="B624" s="29"/>
      <c r="C624" s="29" t="str">
        <f>A624&amp;B624</f>
        <v/>
      </c>
      <c r="D624" s="30">
        <f>VLOOKUP($C624,Asignaturas!$C$5:$D$261,2,0)</f>
        <v>0</v>
      </c>
      <c r="E624" s="95"/>
      <c r="F624" s="23"/>
      <c r="G624" s="31"/>
      <c r="H624" s="31"/>
      <c r="I624" s="23"/>
      <c r="J624" s="36">
        <f>+Tabla2[[#This Row],[DÍA DE ENTREGA]]+8</f>
        <v>8</v>
      </c>
      <c r="K624" s="23"/>
      <c r="L624" s="99"/>
      <c r="M624" s="84"/>
      <c r="N624" s="29"/>
    </row>
    <row r="625" spans="1:14" ht="27.75" customHeight="1">
      <c r="A625" s="29"/>
      <c r="B625" s="29"/>
      <c r="C625" s="29" t="str">
        <f>A625&amp;B625</f>
        <v/>
      </c>
      <c r="D625" s="30">
        <f>VLOOKUP($C625,Asignaturas!$C$5:$D$261,2,0)</f>
        <v>0</v>
      </c>
      <c r="E625" s="95"/>
      <c r="F625" s="23"/>
      <c r="G625" s="31"/>
      <c r="H625" s="31"/>
      <c r="I625" s="23"/>
      <c r="J625" s="36">
        <f>+Tabla2[[#This Row],[DÍA DE ENTREGA]]+8</f>
        <v>8</v>
      </c>
      <c r="K625" s="23"/>
      <c r="L625" s="99"/>
      <c r="M625" s="29"/>
      <c r="N625" s="29"/>
    </row>
    <row r="626" spans="1:14" ht="27.75" customHeight="1">
      <c r="A626" s="29"/>
      <c r="B626" s="29"/>
      <c r="C626" s="29" t="str">
        <f>A626&amp;B626</f>
        <v/>
      </c>
      <c r="D626" s="30">
        <f>VLOOKUP($C626,Asignaturas!$C$5:$D$261,2,0)</f>
        <v>0</v>
      </c>
      <c r="E626" s="95"/>
      <c r="F626" s="23"/>
      <c r="G626" s="31"/>
      <c r="H626" s="31"/>
      <c r="I626" s="23"/>
      <c r="J626" s="36">
        <f>+Tabla2[[#This Row],[DÍA DE ENTREGA]]+8</f>
        <v>8</v>
      </c>
      <c r="K626" s="23"/>
      <c r="L626" s="100"/>
      <c r="M626" s="29"/>
      <c r="N626" s="29"/>
    </row>
    <row r="627" spans="1:14" ht="27.75" customHeight="1">
      <c r="A627" s="29"/>
      <c r="B627" s="29"/>
      <c r="C627" s="29" t="str">
        <f>A627&amp;B627</f>
        <v/>
      </c>
      <c r="D627" s="30">
        <f>VLOOKUP($C627,Asignaturas!$C$5:$D$261,2,0)</f>
        <v>0</v>
      </c>
      <c r="E627" s="95"/>
      <c r="F627" s="23"/>
      <c r="G627" s="31"/>
      <c r="H627" s="31"/>
      <c r="I627" s="23"/>
      <c r="J627" s="36">
        <f>+Tabla2[[#This Row],[DÍA DE ENTREGA]]+8</f>
        <v>8</v>
      </c>
      <c r="K627" s="23"/>
      <c r="L627" s="99"/>
      <c r="M627" s="29"/>
      <c r="N627" s="29"/>
    </row>
    <row r="628" spans="1:14" ht="27.75" customHeight="1">
      <c r="A628" s="29"/>
      <c r="B628" s="29"/>
      <c r="C628" s="29" t="str">
        <f>A628&amp;B628</f>
        <v/>
      </c>
      <c r="D628" s="30">
        <f>VLOOKUP($C628,Asignaturas!$C$5:$D$261,2,0)</f>
        <v>0</v>
      </c>
      <c r="E628" s="95"/>
      <c r="F628" s="23"/>
      <c r="G628" s="31"/>
      <c r="H628" s="31"/>
      <c r="I628" s="23"/>
      <c r="J628" s="36">
        <f>+Tabla2[[#This Row],[DÍA DE ENTREGA]]+8</f>
        <v>8</v>
      </c>
      <c r="K628" s="23"/>
      <c r="L628" s="99"/>
      <c r="M628" s="29"/>
      <c r="N628" s="29"/>
    </row>
    <row r="629" spans="1:14" ht="27.75" customHeight="1">
      <c r="A629" s="29"/>
      <c r="B629" s="29"/>
      <c r="C629" s="29" t="str">
        <f>A629&amp;B629</f>
        <v/>
      </c>
      <c r="D629" s="30">
        <f>VLOOKUP($C629,Asignaturas!$C$5:$D$261,2,0)</f>
        <v>0</v>
      </c>
      <c r="E629" s="95"/>
      <c r="F629" s="23"/>
      <c r="G629" s="31"/>
      <c r="H629" s="31"/>
      <c r="I629" s="23"/>
      <c r="J629" s="36">
        <f>+Tabla2[[#This Row],[DÍA DE ENTREGA]]+8</f>
        <v>8</v>
      </c>
      <c r="K629" s="23"/>
      <c r="L629" s="99"/>
      <c r="M629" s="29"/>
      <c r="N629" s="29"/>
    </row>
    <row r="630" spans="1:14" ht="27.75" customHeight="1">
      <c r="A630" s="29"/>
      <c r="B630" s="29"/>
      <c r="C630" s="29" t="str">
        <f>A630&amp;B630</f>
        <v/>
      </c>
      <c r="D630" s="30">
        <f>VLOOKUP($C630,Asignaturas!$C$5:$D$261,2,0)</f>
        <v>0</v>
      </c>
      <c r="E630" s="98"/>
      <c r="F630" s="61"/>
      <c r="G630" s="62"/>
      <c r="H630" s="62"/>
      <c r="I630" s="61"/>
      <c r="J630" s="63">
        <f>+Tabla2[[#This Row],[DÍA DE ENTREGA]]+8</f>
        <v>8</v>
      </c>
      <c r="K630" s="61"/>
      <c r="L630" s="99"/>
      <c r="M630" s="29"/>
      <c r="N630" s="29"/>
    </row>
    <row r="631" spans="1:14" ht="27.75" customHeight="1">
      <c r="A631" s="29"/>
      <c r="B631" s="29"/>
      <c r="C631" s="29" t="str">
        <f>A631&amp;B631</f>
        <v/>
      </c>
      <c r="D631" s="30">
        <f>VLOOKUP($C631,Asignaturas!$C$5:$D$261,2,0)</f>
        <v>0</v>
      </c>
      <c r="E631" s="95"/>
      <c r="F631" s="23"/>
      <c r="G631" s="31"/>
      <c r="H631" s="31"/>
      <c r="I631" s="23"/>
      <c r="J631" s="36">
        <f>+Tabla2[[#This Row],[DÍA DE ENTREGA]]+8</f>
        <v>8</v>
      </c>
      <c r="K631" s="23"/>
      <c r="L631" s="99"/>
      <c r="M631" s="29"/>
      <c r="N631" s="29"/>
    </row>
    <row r="632" spans="1:14" ht="27.75" customHeight="1">
      <c r="A632" s="29"/>
      <c r="B632" s="29"/>
      <c r="C632" s="29" t="str">
        <f>A632&amp;B632</f>
        <v/>
      </c>
      <c r="D632" s="30">
        <f>VLOOKUP($C632,Asignaturas!$C$5:$D$261,2,0)</f>
        <v>0</v>
      </c>
      <c r="E632" s="95"/>
      <c r="F632" s="61"/>
      <c r="G632" s="62"/>
      <c r="H632" s="62"/>
      <c r="I632" s="61"/>
      <c r="J632" s="63">
        <f>+Tabla2[[#This Row],[DÍA DE ENTREGA]]+8</f>
        <v>8</v>
      </c>
      <c r="K632" s="61"/>
      <c r="L632" s="99"/>
      <c r="M632" s="29"/>
      <c r="N632" s="29"/>
    </row>
    <row r="633" spans="1:14" ht="27.75" customHeight="1">
      <c r="A633" s="29"/>
      <c r="B633" s="29"/>
      <c r="C633" s="29" t="str">
        <f>A633&amp;B633</f>
        <v/>
      </c>
      <c r="D633" s="30">
        <f>VLOOKUP($C633,Asignaturas!$C$5:$D$261,2,0)</f>
        <v>0</v>
      </c>
      <c r="E633" s="95"/>
      <c r="F633" s="23"/>
      <c r="G633" s="62"/>
      <c r="H633" s="62"/>
      <c r="I633" s="61"/>
      <c r="J633" s="63">
        <f>+Tabla2[[#This Row],[DÍA DE ENTREGA]]+8</f>
        <v>8</v>
      </c>
      <c r="K633" s="61"/>
      <c r="L633" s="99"/>
      <c r="M633" s="29"/>
      <c r="N633" s="29"/>
    </row>
    <row r="634" spans="1:14" ht="27.75" customHeight="1">
      <c r="A634" s="29"/>
      <c r="B634" s="29"/>
      <c r="C634" s="29" t="str">
        <f>A634&amp;B634</f>
        <v/>
      </c>
      <c r="D634" s="30">
        <f>VLOOKUP($C634,Asignaturas!$C$5:$D$261,2,0)</f>
        <v>0</v>
      </c>
      <c r="E634" s="95"/>
      <c r="F634" s="23"/>
      <c r="G634" s="62"/>
      <c r="H634" s="62"/>
      <c r="I634" s="61"/>
      <c r="J634" s="63">
        <f>+Tabla2[[#This Row],[DÍA DE ENTREGA]]+8</f>
        <v>8</v>
      </c>
      <c r="K634" s="61"/>
      <c r="L634" s="99"/>
      <c r="M634" s="29"/>
      <c r="N634" s="29"/>
    </row>
    <row r="635" spans="1:14" ht="27.75" customHeight="1">
      <c r="A635" s="29"/>
      <c r="B635" s="29"/>
      <c r="C635" s="29" t="str">
        <f>A635&amp;B635</f>
        <v/>
      </c>
      <c r="D635" s="30">
        <f>VLOOKUP($C635,Asignaturas!$C$5:$D$261,2,0)</f>
        <v>0</v>
      </c>
      <c r="E635" s="95"/>
      <c r="F635" s="23"/>
      <c r="G635" s="62"/>
      <c r="H635" s="62"/>
      <c r="I635" s="61"/>
      <c r="J635" s="63">
        <f>+Tabla2[[#This Row],[DÍA DE ENTREGA]]+8</f>
        <v>8</v>
      </c>
      <c r="K635" s="61"/>
      <c r="L635" s="99"/>
      <c r="M635" s="29"/>
      <c r="N635" s="29"/>
    </row>
    <row r="636" spans="1:14" ht="27.75" customHeight="1">
      <c r="A636" s="29"/>
      <c r="B636" s="29"/>
      <c r="C636" s="29" t="str">
        <f>A636&amp;B636</f>
        <v/>
      </c>
      <c r="D636" s="30">
        <f>VLOOKUP($C636,Asignaturas!$C$5:$D$261,2,0)</f>
        <v>0</v>
      </c>
      <c r="E636" s="95"/>
      <c r="F636" s="23"/>
      <c r="G636" s="62"/>
      <c r="H636" s="62"/>
      <c r="I636" s="61"/>
      <c r="J636" s="63">
        <f>+Tabla2[[#This Row],[DÍA DE ENTREGA]]+8</f>
        <v>8</v>
      </c>
      <c r="K636" s="23"/>
      <c r="L636" s="99"/>
      <c r="M636" s="29"/>
      <c r="N636" s="29"/>
    </row>
    <row r="637" spans="1:14" ht="27.75" customHeight="1">
      <c r="A637" s="29"/>
      <c r="B637" s="29"/>
      <c r="C637" s="29" t="str">
        <f>A637&amp;B637</f>
        <v/>
      </c>
      <c r="D637" s="30">
        <f>VLOOKUP($C637,Asignaturas!$C$5:$D$261,2,0)</f>
        <v>0</v>
      </c>
      <c r="E637" s="95"/>
      <c r="F637" s="23"/>
      <c r="G637" s="31"/>
      <c r="H637" s="31"/>
      <c r="I637" s="23"/>
      <c r="J637" s="36">
        <f>+Tabla2[[#This Row],[DÍA DE ENTREGA]]+8</f>
        <v>8</v>
      </c>
      <c r="K637" s="23"/>
      <c r="L637" s="99"/>
      <c r="M637" s="29"/>
      <c r="N637" s="29"/>
    </row>
    <row r="638" spans="1:14" ht="27.75" customHeight="1">
      <c r="A638" s="29"/>
      <c r="B638" s="29"/>
      <c r="C638" s="29" t="str">
        <f>A638&amp;B638</f>
        <v/>
      </c>
      <c r="D638" s="30">
        <f>VLOOKUP($C638,Asignaturas!$C$5:$D$261,2,0)</f>
        <v>0</v>
      </c>
      <c r="E638" s="95"/>
      <c r="F638" s="23"/>
      <c r="G638" s="31"/>
      <c r="H638" s="31"/>
      <c r="I638" s="23"/>
      <c r="J638" s="36">
        <f>+Tabla2[[#This Row],[DÍA DE ENTREGA]]+8</f>
        <v>8</v>
      </c>
      <c r="K638" s="23"/>
      <c r="L638" s="99"/>
      <c r="M638" s="29"/>
      <c r="N638" s="29"/>
    </row>
    <row r="639" spans="1:14" ht="27.75" customHeight="1">
      <c r="A639" s="29"/>
      <c r="B639" s="29"/>
      <c r="C639" s="29" t="str">
        <f>A639&amp;B639</f>
        <v/>
      </c>
      <c r="D639" s="30">
        <f>VLOOKUP($C639,Asignaturas!$C$5:$D$261,2,0)</f>
        <v>0</v>
      </c>
      <c r="E639" s="95"/>
      <c r="F639" s="23"/>
      <c r="G639" s="31"/>
      <c r="H639" s="31"/>
      <c r="I639" s="23"/>
      <c r="J639" s="36">
        <f>+Tabla2[[#This Row],[DÍA DE ENTREGA]]+8</f>
        <v>8</v>
      </c>
      <c r="K639" s="23"/>
      <c r="L639" s="99"/>
      <c r="M639" s="29"/>
      <c r="N639" s="29"/>
    </row>
    <row r="640" spans="1:14" ht="27.75" customHeight="1">
      <c r="A640" s="29"/>
      <c r="B640" s="29"/>
      <c r="C640" s="29" t="str">
        <f>A640&amp;B640</f>
        <v/>
      </c>
      <c r="D640" s="30">
        <f>VLOOKUP($C640,Asignaturas!$C$5:$D$261,2,0)</f>
        <v>0</v>
      </c>
      <c r="E640" s="95"/>
      <c r="F640" s="23"/>
      <c r="G640" s="68"/>
      <c r="H640" s="68"/>
      <c r="I640" s="69"/>
      <c r="J640" s="70">
        <f>+Tabla2[[#This Row],[DÍA DE ENTREGA]]+8</f>
        <v>8</v>
      </c>
      <c r="K640" s="23"/>
      <c r="L640" s="99"/>
      <c r="M640" s="29"/>
      <c r="N640" s="29"/>
    </row>
    <row r="641" spans="1:14" ht="27.75" customHeight="1">
      <c r="A641" s="29"/>
      <c r="B641" s="29"/>
      <c r="C641" s="29" t="str">
        <f>A641&amp;B641</f>
        <v/>
      </c>
      <c r="D641" s="30">
        <f>VLOOKUP($C641,Asignaturas!$C$5:$D$261,2,0)</f>
        <v>0</v>
      </c>
      <c r="E641" s="95"/>
      <c r="F641" s="23"/>
      <c r="G641" s="31"/>
      <c r="H641" s="31"/>
      <c r="I641" s="23"/>
      <c r="J641" s="36">
        <f>+Tabla2[[#This Row],[DÍA DE ENTREGA]]+8</f>
        <v>8</v>
      </c>
      <c r="K641" s="23"/>
      <c r="L641" s="99"/>
      <c r="M641" s="29"/>
      <c r="N641" s="29"/>
    </row>
    <row r="642" spans="1:14" ht="27.75" customHeight="1">
      <c r="A642" s="29"/>
      <c r="B642" s="29"/>
      <c r="C642" s="29" t="str">
        <f>A642&amp;B642</f>
        <v/>
      </c>
      <c r="D642" s="30">
        <f>VLOOKUP($C642,Asignaturas!$C$5:$D$261,2,0)</f>
        <v>0</v>
      </c>
      <c r="E642" s="95"/>
      <c r="F642" s="23"/>
      <c r="G642" s="31"/>
      <c r="H642" s="31"/>
      <c r="I642" s="23"/>
      <c r="J642" s="36">
        <f>+Tabla2[[#This Row],[DÍA DE ENTREGA]]+8</f>
        <v>8</v>
      </c>
      <c r="K642" s="23"/>
      <c r="L642" s="99"/>
      <c r="M642" s="29"/>
      <c r="N642" s="29"/>
    </row>
    <row r="643" spans="1:14" ht="27.75" customHeight="1">
      <c r="A643" s="29"/>
      <c r="B643" s="29"/>
      <c r="C643" s="29" t="str">
        <f>A643&amp;B643</f>
        <v/>
      </c>
      <c r="D643" s="30">
        <f>VLOOKUP($C643,Asignaturas!$C$5:$D$261,2,0)</f>
        <v>0</v>
      </c>
      <c r="E643" s="95"/>
      <c r="F643" s="23"/>
      <c r="G643" s="31"/>
      <c r="H643" s="31"/>
      <c r="I643" s="23"/>
      <c r="J643" s="36">
        <f>+Tabla2[[#This Row],[DÍA DE ENTREGA]]+8</f>
        <v>8</v>
      </c>
      <c r="K643" s="23"/>
      <c r="L643" s="99"/>
      <c r="M643" s="29"/>
      <c r="N643" s="29"/>
    </row>
    <row r="644" spans="1:14" ht="27.75" customHeight="1">
      <c r="A644" s="29"/>
      <c r="B644" s="29"/>
      <c r="C644" s="29" t="str">
        <f>A644&amp;B644</f>
        <v/>
      </c>
      <c r="D644" s="30">
        <f>VLOOKUP($C644,Asignaturas!$C$5:$D$261,2,0)</f>
        <v>0</v>
      </c>
      <c r="E644" s="95"/>
      <c r="F644" s="23"/>
      <c r="G644" s="31"/>
      <c r="H644" s="31"/>
      <c r="I644" s="23"/>
      <c r="J644" s="36">
        <f>+Tabla2[[#This Row],[DÍA DE ENTREGA]]+8</f>
        <v>8</v>
      </c>
      <c r="K644" s="23"/>
      <c r="L644" s="99"/>
      <c r="M644" s="29"/>
      <c r="N644" s="29"/>
    </row>
    <row r="645" spans="1:14" ht="27.75" customHeight="1">
      <c r="A645" s="29"/>
      <c r="B645" s="29"/>
      <c r="C645" s="29" t="str">
        <f>A645&amp;B645</f>
        <v/>
      </c>
      <c r="D645" s="30">
        <f>VLOOKUP($C645,Asignaturas!$C$5:$D$261,2,0)</f>
        <v>0</v>
      </c>
      <c r="E645" s="95"/>
      <c r="F645" s="23"/>
      <c r="G645" s="31"/>
      <c r="H645" s="31"/>
      <c r="I645" s="23"/>
      <c r="J645" s="36">
        <f>+Tabla2[[#This Row],[DÍA DE ENTREGA]]+8</f>
        <v>8</v>
      </c>
      <c r="K645" s="23"/>
      <c r="L645" s="99"/>
      <c r="M645" s="29"/>
      <c r="N645" s="29"/>
    </row>
    <row r="646" spans="1:14" ht="27.75" customHeight="1">
      <c r="A646" s="29"/>
      <c r="B646" s="29"/>
      <c r="C646" s="29" t="str">
        <f>A646&amp;B646</f>
        <v/>
      </c>
      <c r="D646" s="30">
        <f>VLOOKUP($C646,Asignaturas!$C$5:$D$261,2,0)</f>
        <v>0</v>
      </c>
      <c r="E646" s="95"/>
      <c r="F646" s="23"/>
      <c r="G646" s="31"/>
      <c r="H646" s="31"/>
      <c r="I646" s="23"/>
      <c r="J646" s="36">
        <f>+Tabla2[[#This Row],[DÍA DE ENTREGA]]+8</f>
        <v>8</v>
      </c>
      <c r="K646" s="23"/>
      <c r="L646" s="99"/>
      <c r="M646" s="29"/>
      <c r="N646" s="29"/>
    </row>
    <row r="647" spans="1:14" ht="27.75" customHeight="1">
      <c r="A647" s="29"/>
      <c r="B647" s="29"/>
      <c r="C647" s="29" t="str">
        <f>A647&amp;B647</f>
        <v/>
      </c>
      <c r="D647" s="30">
        <f>VLOOKUP($C647,Asignaturas!$C$5:$D$261,2,0)</f>
        <v>0</v>
      </c>
      <c r="E647" s="95"/>
      <c r="F647" s="23"/>
      <c r="G647" s="31"/>
      <c r="H647" s="31"/>
      <c r="I647" s="23"/>
      <c r="J647" s="36">
        <f>+Tabla2[[#This Row],[DÍA DE ENTREGA]]+8</f>
        <v>8</v>
      </c>
      <c r="K647" s="23"/>
      <c r="L647" s="99"/>
      <c r="M647" s="29"/>
      <c r="N647" s="29"/>
    </row>
    <row r="648" spans="1:14" ht="27.75" customHeight="1">
      <c r="A648" s="29"/>
      <c r="B648" s="29"/>
      <c r="C648" s="29" t="str">
        <f>A648&amp;B648</f>
        <v/>
      </c>
      <c r="D648" s="30">
        <f>VLOOKUP($C648,Asignaturas!$C$5:$D$261,2,0)</f>
        <v>0</v>
      </c>
      <c r="E648" s="95"/>
      <c r="F648" s="23"/>
      <c r="G648" s="31"/>
      <c r="H648" s="31"/>
      <c r="I648" s="23"/>
      <c r="J648" s="36">
        <f>+Tabla2[[#This Row],[DÍA DE ENTREGA]]+8</f>
        <v>8</v>
      </c>
      <c r="K648" s="23"/>
      <c r="L648" s="99"/>
      <c r="M648" s="29"/>
      <c r="N648" s="29"/>
    </row>
    <row r="649" spans="1:14" ht="27.75" customHeight="1">
      <c r="A649" s="29"/>
      <c r="B649" s="29"/>
      <c r="C649" s="29" t="str">
        <f>A649&amp;B649</f>
        <v/>
      </c>
      <c r="D649" s="30">
        <f>VLOOKUP($C649,Asignaturas!$C$5:$D$261,2,0)</f>
        <v>0</v>
      </c>
      <c r="E649" s="95"/>
      <c r="F649" s="23"/>
      <c r="G649" s="31"/>
      <c r="H649" s="31"/>
      <c r="I649" s="23"/>
      <c r="J649" s="36">
        <f>+Tabla2[[#This Row],[DÍA DE ENTREGA]]+8</f>
        <v>8</v>
      </c>
      <c r="K649" s="23"/>
      <c r="L649" s="99"/>
      <c r="M649" s="29"/>
      <c r="N649" s="29"/>
    </row>
    <row r="650" spans="1:14" ht="27.75" customHeight="1">
      <c r="A650" s="29"/>
      <c r="B650" s="29"/>
      <c r="C650" s="29" t="str">
        <f>A650&amp;B650</f>
        <v/>
      </c>
      <c r="D650" s="30">
        <f>VLOOKUP($C650,Asignaturas!$C$5:$D$261,2,0)</f>
        <v>0</v>
      </c>
      <c r="E650" s="95"/>
      <c r="F650" s="23"/>
      <c r="G650" s="31"/>
      <c r="H650" s="31"/>
      <c r="I650" s="23"/>
      <c r="J650" s="36">
        <f>+Tabla2[[#This Row],[DÍA DE ENTREGA]]+8</f>
        <v>8</v>
      </c>
      <c r="K650" s="23"/>
      <c r="L650" s="99"/>
      <c r="M650" s="29"/>
      <c r="N650" s="29"/>
    </row>
    <row r="651" spans="1:14" ht="27.75" customHeight="1">
      <c r="A651" s="29"/>
      <c r="B651" s="29"/>
      <c r="C651" s="29" t="str">
        <f>A651&amp;B651</f>
        <v/>
      </c>
      <c r="D651" s="30">
        <f>VLOOKUP($C651,Asignaturas!$C$5:$D$261,2,0)</f>
        <v>0</v>
      </c>
      <c r="E651" s="95"/>
      <c r="F651" s="23"/>
      <c r="G651" s="31"/>
      <c r="H651" s="31"/>
      <c r="I651" s="23"/>
      <c r="J651" s="36">
        <f>+Tabla2[[#This Row],[DÍA DE ENTREGA]]+8</f>
        <v>8</v>
      </c>
      <c r="K651" s="23"/>
      <c r="L651" s="99"/>
      <c r="M651" s="29"/>
      <c r="N651" s="29"/>
    </row>
    <row r="652" spans="1:14" ht="27.75" customHeight="1">
      <c r="A652" s="29"/>
      <c r="B652" s="29"/>
      <c r="C652" s="29" t="str">
        <f>A652&amp;B652</f>
        <v/>
      </c>
      <c r="D652" s="30">
        <f>VLOOKUP($C652,Asignaturas!$C$5:$D$261,2,0)</f>
        <v>0</v>
      </c>
      <c r="E652" s="95"/>
      <c r="F652" s="23"/>
      <c r="G652" s="31"/>
      <c r="H652" s="31"/>
      <c r="I652" s="23"/>
      <c r="J652" s="36">
        <f>+Tabla2[[#This Row],[DÍA DE ENTREGA]]+8</f>
        <v>8</v>
      </c>
      <c r="K652" s="23"/>
      <c r="L652" s="99"/>
      <c r="M652" s="29"/>
      <c r="N652" s="29"/>
    </row>
    <row r="653" spans="1:14" ht="27.75" customHeight="1">
      <c r="A653" s="29"/>
      <c r="B653" s="29"/>
      <c r="C653" s="29" t="str">
        <f>A653&amp;B653</f>
        <v/>
      </c>
      <c r="D653" s="30">
        <f>VLOOKUP($C653,Asignaturas!$C$5:$D$261,2,0)</f>
        <v>0</v>
      </c>
      <c r="E653" s="95"/>
      <c r="F653" s="23"/>
      <c r="G653" s="31"/>
      <c r="H653" s="31"/>
      <c r="I653" s="23"/>
      <c r="J653" s="36">
        <f>+Tabla2[[#This Row],[DÍA DE ENTREGA]]+8</f>
        <v>8</v>
      </c>
      <c r="K653" s="23"/>
      <c r="L653" s="99"/>
      <c r="M653" s="29"/>
      <c r="N653" s="29"/>
    </row>
    <row r="654" spans="1:14" ht="27.75" customHeight="1">
      <c r="A654" s="29"/>
      <c r="B654" s="29"/>
      <c r="C654" s="29" t="str">
        <f>A654&amp;B654</f>
        <v/>
      </c>
      <c r="D654" s="30">
        <f>VLOOKUP($C654,Asignaturas!$C$5:$D$261,2,0)</f>
        <v>0</v>
      </c>
      <c r="E654" s="95"/>
      <c r="F654" s="23"/>
      <c r="G654" s="31"/>
      <c r="H654" s="31"/>
      <c r="I654" s="23"/>
      <c r="J654" s="36">
        <f>+Tabla2[[#This Row],[DÍA DE ENTREGA]]+8</f>
        <v>8</v>
      </c>
      <c r="K654" s="23"/>
      <c r="L654" s="99"/>
      <c r="M654" s="29"/>
      <c r="N654" s="29"/>
    </row>
    <row r="655" spans="1:14" ht="27.75" customHeight="1">
      <c r="A655" s="29"/>
      <c r="B655" s="29"/>
      <c r="C655" s="29" t="str">
        <f>A655&amp;B655</f>
        <v/>
      </c>
      <c r="D655" s="30">
        <f>VLOOKUP($C655,Asignaturas!$C$5:$D$261,2,0)</f>
        <v>0</v>
      </c>
      <c r="E655" s="95"/>
      <c r="F655" s="23"/>
      <c r="G655" s="31"/>
      <c r="H655" s="31"/>
      <c r="I655" s="23"/>
      <c r="J655" s="36">
        <f>+Tabla2[[#This Row],[DÍA DE ENTREGA]]+8</f>
        <v>8</v>
      </c>
      <c r="K655" s="23"/>
      <c r="L655" s="99"/>
      <c r="M655" s="29"/>
      <c r="N655" s="29"/>
    </row>
    <row r="656" spans="1:14" ht="27.75" customHeight="1">
      <c r="A656" s="29"/>
      <c r="B656" s="29"/>
      <c r="C656" s="29" t="str">
        <f>A656&amp;B656</f>
        <v/>
      </c>
      <c r="D656" s="30">
        <f>VLOOKUP($C656,Asignaturas!$C$5:$D$261,2,0)</f>
        <v>0</v>
      </c>
      <c r="E656" s="95"/>
      <c r="F656" s="23"/>
      <c r="G656" s="31"/>
      <c r="H656" s="31"/>
      <c r="I656" s="23"/>
      <c r="J656" s="36">
        <f>+Tabla2[[#This Row],[DÍA DE ENTREGA]]+8</f>
        <v>8</v>
      </c>
      <c r="K656" s="23"/>
      <c r="L656" s="99"/>
      <c r="M656" s="29"/>
      <c r="N656" s="29"/>
    </row>
    <row r="657" spans="1:14" ht="27.75" customHeight="1">
      <c r="A657" s="29"/>
      <c r="B657" s="29"/>
      <c r="C657" s="29" t="str">
        <f>A657&amp;B657</f>
        <v/>
      </c>
      <c r="D657" s="30">
        <f>VLOOKUP($C657,Asignaturas!$C$5:$D$261,2,0)</f>
        <v>0</v>
      </c>
      <c r="E657" s="95"/>
      <c r="F657" s="23"/>
      <c r="G657" s="31"/>
      <c r="H657" s="31"/>
      <c r="I657" s="23"/>
      <c r="J657" s="36">
        <f>+Tabla2[[#This Row],[DÍA DE ENTREGA]]+8</f>
        <v>8</v>
      </c>
      <c r="K657" s="23"/>
      <c r="L657" s="99"/>
      <c r="M657" s="29"/>
      <c r="N657" s="29"/>
    </row>
    <row r="658" spans="1:14" ht="27.75" customHeight="1">
      <c r="A658" s="29"/>
      <c r="B658" s="29"/>
      <c r="C658" s="29" t="str">
        <f>A658&amp;B658</f>
        <v/>
      </c>
      <c r="D658" s="30">
        <f>VLOOKUP($C658,Asignaturas!$C$5:$D$261,2,0)</f>
        <v>0</v>
      </c>
      <c r="E658" s="95"/>
      <c r="F658" s="23"/>
      <c r="G658" s="31"/>
      <c r="H658" s="31"/>
      <c r="I658" s="23"/>
      <c r="J658" s="36">
        <f>+Tabla2[[#This Row],[DÍA DE ENTREGA]]+8</f>
        <v>8</v>
      </c>
      <c r="K658" s="23"/>
      <c r="L658" s="99"/>
      <c r="M658" s="29"/>
      <c r="N658" s="29"/>
    </row>
    <row r="659" spans="1:14" ht="27.75" customHeight="1">
      <c r="A659" s="29"/>
      <c r="B659" s="29"/>
      <c r="C659" s="29" t="str">
        <f>A659&amp;B659</f>
        <v/>
      </c>
      <c r="D659" s="30">
        <f>VLOOKUP($C659,Asignaturas!$C$5:$D$261,2,0)</f>
        <v>0</v>
      </c>
      <c r="E659" s="95"/>
      <c r="F659" s="23"/>
      <c r="G659" s="31"/>
      <c r="H659" s="31"/>
      <c r="I659" s="23"/>
      <c r="J659" s="36">
        <f>+Tabla2[[#This Row],[DÍA DE ENTREGA]]+8</f>
        <v>8</v>
      </c>
      <c r="K659" s="23"/>
      <c r="L659" s="99"/>
      <c r="M659" s="29"/>
      <c r="N659" s="29"/>
    </row>
    <row r="660" spans="1:14" ht="27.75" customHeight="1">
      <c r="A660" s="29"/>
      <c r="B660" s="29"/>
      <c r="C660" s="29" t="str">
        <f>A660&amp;B660</f>
        <v/>
      </c>
      <c r="D660" s="30">
        <f>VLOOKUP($C660,Asignaturas!$C$5:$D$261,2,0)</f>
        <v>0</v>
      </c>
      <c r="E660" s="95"/>
      <c r="F660" s="23"/>
      <c r="G660" s="31"/>
      <c r="H660" s="31"/>
      <c r="I660" s="23"/>
      <c r="J660" s="36">
        <f>+Tabla2[[#This Row],[DÍA DE ENTREGA]]+8</f>
        <v>8</v>
      </c>
      <c r="K660" s="23"/>
      <c r="L660" s="99"/>
      <c r="M660" s="29"/>
      <c r="N660" s="29"/>
    </row>
    <row r="661" spans="1:14" ht="27.75" customHeight="1">
      <c r="A661" s="29"/>
      <c r="B661" s="29"/>
      <c r="C661" s="29" t="str">
        <f>A661&amp;B661</f>
        <v/>
      </c>
      <c r="D661" s="30">
        <f>VLOOKUP($C661,Asignaturas!$C$5:$D$261,2,0)</f>
        <v>0</v>
      </c>
      <c r="E661" s="95"/>
      <c r="F661" s="23"/>
      <c r="G661" s="31"/>
      <c r="H661" s="31"/>
      <c r="I661" s="23"/>
      <c r="J661" s="36">
        <f>+Tabla2[[#This Row],[DÍA DE ENTREGA]]+8</f>
        <v>8</v>
      </c>
      <c r="K661" s="23"/>
      <c r="L661" s="99"/>
      <c r="M661" s="29"/>
      <c r="N661" s="29"/>
    </row>
    <row r="662" spans="1:14" ht="27.75" customHeight="1">
      <c r="A662" s="29"/>
      <c r="B662" s="29"/>
      <c r="C662" s="29" t="str">
        <f>A662&amp;B662</f>
        <v/>
      </c>
      <c r="D662" s="30">
        <f>VLOOKUP($C662,Asignaturas!$C$5:$D$261,2,0)</f>
        <v>0</v>
      </c>
      <c r="E662" s="95"/>
      <c r="F662" s="23"/>
      <c r="G662" s="31"/>
      <c r="H662" s="31"/>
      <c r="I662" s="23"/>
      <c r="J662" s="36">
        <f>+Tabla2[[#This Row],[DÍA DE ENTREGA]]+8</f>
        <v>8</v>
      </c>
      <c r="K662" s="23"/>
      <c r="L662" s="99"/>
      <c r="M662" s="29"/>
      <c r="N662" s="29"/>
    </row>
    <row r="663" spans="1:14" ht="27.75" customHeight="1">
      <c r="A663" s="29"/>
      <c r="B663" s="29"/>
      <c r="C663" s="29" t="str">
        <f>A663&amp;B663</f>
        <v/>
      </c>
      <c r="D663" s="30">
        <f>VLOOKUP($C663,Asignaturas!$C$5:$D$261,2,0)</f>
        <v>0</v>
      </c>
      <c r="E663" s="95"/>
      <c r="F663" s="23"/>
      <c r="G663" s="31"/>
      <c r="H663" s="31"/>
      <c r="I663" s="23"/>
      <c r="J663" s="36">
        <f>+Tabla2[[#This Row],[DÍA DE ENTREGA]]+8</f>
        <v>8</v>
      </c>
      <c r="K663" s="23"/>
      <c r="L663" s="99"/>
      <c r="M663" s="29"/>
      <c r="N663" s="29"/>
    </row>
    <row r="664" spans="1:14" ht="27.75" customHeight="1">
      <c r="A664" s="29"/>
      <c r="B664" s="29"/>
      <c r="C664" s="29" t="str">
        <f>A664&amp;B664</f>
        <v/>
      </c>
      <c r="D664" s="30">
        <f>VLOOKUP($C664,Asignaturas!$C$5:$D$261,2,0)</f>
        <v>0</v>
      </c>
      <c r="E664" s="95"/>
      <c r="F664" s="23"/>
      <c r="G664" s="31"/>
      <c r="H664" s="31"/>
      <c r="I664" s="23"/>
      <c r="J664" s="36">
        <f>+Tabla2[[#This Row],[DÍA DE ENTREGA]]+8</f>
        <v>8</v>
      </c>
      <c r="K664" s="23"/>
      <c r="L664" s="99"/>
      <c r="M664" s="29"/>
      <c r="N664" s="29"/>
    </row>
    <row r="665" spans="1:14" ht="27.75" customHeight="1">
      <c r="A665" s="29"/>
      <c r="B665" s="29"/>
      <c r="C665" s="29" t="str">
        <f>A665&amp;B665</f>
        <v/>
      </c>
      <c r="D665" s="30">
        <f>VLOOKUP($C665,Asignaturas!$C$5:$D$261,2,0)</f>
        <v>0</v>
      </c>
      <c r="E665" s="95"/>
      <c r="F665" s="23"/>
      <c r="G665" s="31"/>
      <c r="H665" s="31"/>
      <c r="I665" s="23"/>
      <c r="J665" s="36">
        <f>+Tabla2[[#This Row],[DÍA DE ENTREGA]]+8</f>
        <v>8</v>
      </c>
      <c r="K665" s="23"/>
      <c r="L665" s="99"/>
      <c r="M665" s="29"/>
      <c r="N665" s="29"/>
    </row>
    <row r="666" spans="1:14" ht="27.75" customHeight="1">
      <c r="A666" s="29"/>
      <c r="B666" s="29"/>
      <c r="C666" s="29" t="str">
        <f>A666&amp;B666</f>
        <v/>
      </c>
      <c r="D666" s="30">
        <f>VLOOKUP($C666,Asignaturas!$C$5:$D$261,2,0)</f>
        <v>0</v>
      </c>
      <c r="E666" s="95"/>
      <c r="F666" s="23"/>
      <c r="G666" s="31"/>
      <c r="H666" s="31"/>
      <c r="I666" s="23"/>
      <c r="J666" s="36">
        <f>+Tabla2[[#This Row],[DÍA DE ENTREGA]]+8</f>
        <v>8</v>
      </c>
      <c r="K666" s="23"/>
      <c r="L666" s="99"/>
      <c r="M666" s="29"/>
      <c r="N666" s="29"/>
    </row>
    <row r="667" spans="1:14" ht="27.75" customHeight="1">
      <c r="A667" s="29"/>
      <c r="B667" s="29"/>
      <c r="C667" s="29" t="str">
        <f>A667&amp;B667</f>
        <v/>
      </c>
      <c r="D667" s="30">
        <f>VLOOKUP($C667,Asignaturas!$C$5:$D$261,2,0)</f>
        <v>0</v>
      </c>
      <c r="E667" s="95"/>
      <c r="F667" s="23"/>
      <c r="G667" s="31"/>
      <c r="H667" s="31"/>
      <c r="I667" s="23"/>
      <c r="J667" s="36">
        <f>+Tabla2[[#This Row],[DÍA DE ENTREGA]]+8</f>
        <v>8</v>
      </c>
      <c r="K667" s="23"/>
      <c r="L667" s="99"/>
      <c r="M667" s="29"/>
      <c r="N667" s="29"/>
    </row>
    <row r="668" spans="1:14" ht="27.75" customHeight="1">
      <c r="A668" s="29"/>
      <c r="B668" s="29"/>
      <c r="C668" s="29" t="str">
        <f>A668&amp;B668</f>
        <v/>
      </c>
      <c r="D668" s="30">
        <f>VLOOKUP($C668,Asignaturas!$C$5:$D$261,2,0)</f>
        <v>0</v>
      </c>
      <c r="E668" s="95"/>
      <c r="F668" s="23"/>
      <c r="G668" s="31"/>
      <c r="H668" s="31"/>
      <c r="I668" s="23"/>
      <c r="J668" s="36">
        <f>+Tabla2[[#This Row],[DÍA DE ENTREGA]]+8</f>
        <v>8</v>
      </c>
      <c r="K668" s="23"/>
      <c r="L668" s="99"/>
      <c r="M668" s="29"/>
      <c r="N668" s="29"/>
    </row>
    <row r="669" spans="1:14" ht="27.75" customHeight="1">
      <c r="A669" s="29"/>
      <c r="B669" s="29"/>
      <c r="C669" s="29" t="str">
        <f>A669&amp;B669</f>
        <v/>
      </c>
      <c r="D669" s="30">
        <f>VLOOKUP($C669,Asignaturas!$C$5:$D$261,2,0)</f>
        <v>0</v>
      </c>
      <c r="E669" s="95"/>
      <c r="F669" s="23"/>
      <c r="G669" s="31"/>
      <c r="H669" s="31"/>
      <c r="I669" s="23"/>
      <c r="J669" s="36">
        <f>+Tabla2[[#This Row],[DÍA DE ENTREGA]]+8</f>
        <v>8</v>
      </c>
      <c r="K669" s="23"/>
      <c r="L669" s="99"/>
      <c r="M669" s="29"/>
      <c r="N669" s="29"/>
    </row>
    <row r="670" spans="1:14" ht="27.75" customHeight="1">
      <c r="A670" s="29"/>
      <c r="B670" s="29"/>
      <c r="C670" s="29" t="str">
        <f>A670&amp;B670</f>
        <v/>
      </c>
      <c r="D670" s="30">
        <f>VLOOKUP($C670,Asignaturas!$C$5:$D$261,2,0)</f>
        <v>0</v>
      </c>
      <c r="E670" s="95"/>
      <c r="F670" s="23"/>
      <c r="G670" s="31"/>
      <c r="H670" s="31"/>
      <c r="I670" s="23"/>
      <c r="J670" s="36">
        <f>+Tabla2[[#This Row],[DÍA DE ENTREGA]]+8</f>
        <v>8</v>
      </c>
      <c r="K670" s="23"/>
      <c r="L670" s="99"/>
      <c r="M670" s="29"/>
      <c r="N670" s="29"/>
    </row>
    <row r="671" spans="1:14" ht="27.75" customHeight="1">
      <c r="A671" s="29"/>
      <c r="B671" s="29"/>
      <c r="C671" s="29" t="str">
        <f>A671&amp;B671</f>
        <v/>
      </c>
      <c r="D671" s="30">
        <f>VLOOKUP($C671,Asignaturas!$C$5:$D$261,2,0)</f>
        <v>0</v>
      </c>
      <c r="E671" s="95"/>
      <c r="F671" s="23"/>
      <c r="G671" s="31"/>
      <c r="H671" s="31"/>
      <c r="I671" s="23"/>
      <c r="J671" s="36">
        <f>+Tabla2[[#This Row],[DÍA DE ENTREGA]]+8</f>
        <v>8</v>
      </c>
      <c r="K671" s="23"/>
      <c r="L671" s="99"/>
      <c r="M671" s="29"/>
      <c r="N671" s="29"/>
    </row>
    <row r="672" spans="1:14" ht="27.75" customHeight="1">
      <c r="A672" s="29"/>
      <c r="B672" s="29"/>
      <c r="C672" s="29" t="str">
        <f>A672&amp;B672</f>
        <v/>
      </c>
      <c r="D672" s="30">
        <f>VLOOKUP($C672,Asignaturas!$C$5:$D$261,2,0)</f>
        <v>0</v>
      </c>
      <c r="E672" s="95"/>
      <c r="F672" s="23"/>
      <c r="G672" s="31"/>
      <c r="H672" s="31"/>
      <c r="I672" s="23"/>
      <c r="J672" s="36">
        <f>+Tabla2[[#This Row],[DÍA DE ENTREGA]]+8</f>
        <v>8</v>
      </c>
      <c r="K672" s="23"/>
      <c r="L672" s="99"/>
      <c r="M672" s="29"/>
      <c r="N672" s="29"/>
    </row>
    <row r="673" spans="1:14" ht="27.75" customHeight="1">
      <c r="A673" s="29"/>
      <c r="B673" s="29"/>
      <c r="C673" s="29" t="str">
        <f>A673&amp;B673</f>
        <v/>
      </c>
      <c r="D673" s="30">
        <f>VLOOKUP($C673,Asignaturas!$C$5:$D$261,2,0)</f>
        <v>0</v>
      </c>
      <c r="E673" s="95"/>
      <c r="F673" s="23"/>
      <c r="G673" s="31"/>
      <c r="H673" s="31"/>
      <c r="I673" s="23"/>
      <c r="J673" s="36">
        <f>+Tabla2[[#This Row],[DÍA DE ENTREGA]]+8</f>
        <v>8</v>
      </c>
      <c r="K673" s="23"/>
      <c r="L673" s="99"/>
      <c r="M673" s="29"/>
      <c r="N673" s="29"/>
    </row>
    <row r="674" spans="1:14" ht="27.75" customHeight="1">
      <c r="A674" s="29"/>
      <c r="B674" s="29"/>
      <c r="C674" s="29" t="str">
        <f>A674&amp;B674</f>
        <v/>
      </c>
      <c r="D674" s="30">
        <f>VLOOKUP($C674,Asignaturas!$C$5:$D$261,2,0)</f>
        <v>0</v>
      </c>
      <c r="E674" s="95"/>
      <c r="F674" s="23"/>
      <c r="G674" s="31"/>
      <c r="H674" s="31"/>
      <c r="I674" s="23"/>
      <c r="J674" s="36">
        <f>+Tabla2[[#This Row],[DÍA DE ENTREGA]]+8</f>
        <v>8</v>
      </c>
      <c r="K674" s="23"/>
      <c r="L674" s="99"/>
      <c r="M674" s="29"/>
      <c r="N674" s="29"/>
    </row>
    <row r="675" spans="1:14" ht="27.75" customHeight="1">
      <c r="A675" s="29"/>
      <c r="B675" s="29"/>
      <c r="C675" s="29" t="str">
        <f>A675&amp;B675</f>
        <v/>
      </c>
      <c r="D675" s="30">
        <f>VLOOKUP($C675,Asignaturas!$C$5:$D$261,2,0)</f>
        <v>0</v>
      </c>
      <c r="E675" s="95"/>
      <c r="F675" s="23"/>
      <c r="G675" s="31"/>
      <c r="H675" s="31"/>
      <c r="I675" s="23"/>
      <c r="J675" s="36">
        <f>+Tabla2[[#This Row],[DÍA DE ENTREGA]]+8</f>
        <v>8</v>
      </c>
      <c r="K675" s="23"/>
      <c r="L675" s="99"/>
      <c r="M675" s="29"/>
      <c r="N675" s="29"/>
    </row>
    <row r="676" spans="1:14" ht="27.75" customHeight="1">
      <c r="A676" s="29"/>
      <c r="B676" s="29"/>
      <c r="C676" s="29" t="str">
        <f>A676&amp;B676</f>
        <v/>
      </c>
      <c r="D676" s="30">
        <f>VLOOKUP($C676,Asignaturas!$C$5:$D$261,2,0)</f>
        <v>0</v>
      </c>
      <c r="E676" s="95"/>
      <c r="F676" s="23"/>
      <c r="G676" s="31"/>
      <c r="H676" s="31"/>
      <c r="I676" s="23"/>
      <c r="J676" s="36">
        <f>+Tabla2[[#This Row],[DÍA DE ENTREGA]]+8</f>
        <v>8</v>
      </c>
      <c r="K676" s="23"/>
      <c r="L676" s="99"/>
      <c r="M676" s="29"/>
      <c r="N676" s="29"/>
    </row>
    <row r="677" spans="1:14" ht="27.75" customHeight="1">
      <c r="A677" s="29"/>
      <c r="B677" s="29"/>
      <c r="C677" s="29" t="str">
        <f>A677&amp;B677</f>
        <v/>
      </c>
      <c r="D677" s="30">
        <f>VLOOKUP($C677,Asignaturas!$C$5:$D$261,2,0)</f>
        <v>0</v>
      </c>
      <c r="E677" s="95"/>
      <c r="F677" s="23"/>
      <c r="G677" s="31"/>
      <c r="H677" s="31"/>
      <c r="I677" s="23"/>
      <c r="J677" s="36">
        <f>+Tabla2[[#This Row],[DÍA DE ENTREGA]]+8</f>
        <v>8</v>
      </c>
      <c r="K677" s="23"/>
      <c r="L677" s="100"/>
      <c r="M677" s="29"/>
      <c r="N677" s="29"/>
    </row>
    <row r="678" spans="1:14" ht="27.75" customHeight="1">
      <c r="A678" s="29"/>
      <c r="B678" s="29"/>
      <c r="C678" s="29" t="str">
        <f>A678&amp;B678</f>
        <v/>
      </c>
      <c r="D678" s="30">
        <f>VLOOKUP($C678,Asignaturas!$C$5:$D$261,2,0)</f>
        <v>0</v>
      </c>
      <c r="E678" s="95"/>
      <c r="F678" s="23"/>
      <c r="G678" s="31"/>
      <c r="H678" s="31"/>
      <c r="I678" s="23"/>
      <c r="J678" s="36">
        <f>+Tabla2[[#This Row],[DÍA DE ENTREGA]]+8</f>
        <v>8</v>
      </c>
      <c r="K678" s="23"/>
      <c r="L678" s="100"/>
      <c r="M678" s="29"/>
      <c r="N678" s="29"/>
    </row>
    <row r="679" spans="1:14" ht="27.75" customHeight="1">
      <c r="A679" s="29"/>
      <c r="B679" s="29"/>
      <c r="C679" s="29" t="str">
        <f>A679&amp;B679</f>
        <v/>
      </c>
      <c r="D679" s="30">
        <f>VLOOKUP($C679,Asignaturas!$C$5:$D$261,2,0)</f>
        <v>0</v>
      </c>
      <c r="E679" s="95"/>
      <c r="F679" s="23"/>
      <c r="G679" s="31"/>
      <c r="H679" s="31"/>
      <c r="I679" s="23"/>
      <c r="J679" s="36">
        <f>+Tabla2[[#This Row],[DÍA DE ENTREGA]]+8</f>
        <v>8</v>
      </c>
      <c r="K679" s="23"/>
      <c r="L679" s="100"/>
      <c r="M679" s="29"/>
      <c r="N679" s="29"/>
    </row>
    <row r="680" spans="1:14" ht="27.75" customHeight="1">
      <c r="A680" s="29"/>
      <c r="B680" s="29"/>
      <c r="C680" s="29" t="str">
        <f>A680&amp;B680</f>
        <v/>
      </c>
      <c r="D680" s="30">
        <f>VLOOKUP($C680,Asignaturas!$C$5:$D$261,2,0)</f>
        <v>0</v>
      </c>
      <c r="E680" s="95"/>
      <c r="F680" s="23"/>
      <c r="G680" s="31"/>
      <c r="H680" s="31"/>
      <c r="I680" s="23"/>
      <c r="J680" s="36">
        <f>+Tabla2[[#This Row],[DÍA DE ENTREGA]]+8</f>
        <v>8</v>
      </c>
      <c r="K680" s="23"/>
      <c r="L680" s="100"/>
      <c r="M680" s="29"/>
      <c r="N680" s="29"/>
    </row>
    <row r="681" spans="1:14" ht="27.75" customHeight="1">
      <c r="A681" s="29"/>
      <c r="B681" s="29"/>
      <c r="C681" s="29" t="str">
        <f>A681&amp;B681</f>
        <v/>
      </c>
      <c r="D681" s="30">
        <f>VLOOKUP($C681,Asignaturas!$C$5:$D$261,2,0)</f>
        <v>0</v>
      </c>
      <c r="E681" s="95"/>
      <c r="F681" s="23"/>
      <c r="G681" s="31"/>
      <c r="H681" s="31"/>
      <c r="I681" s="23"/>
      <c r="J681" s="36">
        <f>+Tabla2[[#This Row],[DÍA DE ENTREGA]]+8</f>
        <v>8</v>
      </c>
      <c r="K681" s="23"/>
      <c r="L681" s="100"/>
      <c r="M681" s="29"/>
      <c r="N681" s="29"/>
    </row>
    <row r="682" spans="1:14" ht="27.75" customHeight="1">
      <c r="A682" s="29"/>
      <c r="B682" s="29"/>
      <c r="C682" s="29" t="str">
        <f>A682&amp;B682</f>
        <v/>
      </c>
      <c r="D682" s="30">
        <f>VLOOKUP($C682,Asignaturas!$C$5:$D$261,2,0)</f>
        <v>0</v>
      </c>
      <c r="E682" s="95"/>
      <c r="F682" s="23"/>
      <c r="G682" s="31"/>
      <c r="H682" s="31"/>
      <c r="I682" s="23"/>
      <c r="J682" s="36">
        <f>+Tabla2[[#This Row],[DÍA DE ENTREGA]]+8</f>
        <v>8</v>
      </c>
      <c r="K682" s="23"/>
      <c r="L682" s="99"/>
      <c r="M682" s="29"/>
      <c r="N682" s="29"/>
    </row>
    <row r="683" spans="1:14" ht="27.75" customHeight="1">
      <c r="A683" s="29"/>
      <c r="B683" s="29"/>
      <c r="C683" s="29" t="str">
        <f>A683&amp;B683</f>
        <v/>
      </c>
      <c r="D683" s="30">
        <f>VLOOKUP($C683,Asignaturas!$C$5:$D$261,2,0)</f>
        <v>0</v>
      </c>
      <c r="E683" s="95"/>
      <c r="F683" s="23"/>
      <c r="G683" s="31"/>
      <c r="H683" s="31"/>
      <c r="I683" s="23"/>
      <c r="J683" s="36">
        <f>+Tabla2[[#This Row],[DÍA DE ENTREGA]]+8</f>
        <v>8</v>
      </c>
      <c r="K683" s="23"/>
      <c r="L683" s="99"/>
      <c r="M683" s="29"/>
      <c r="N683" s="29"/>
    </row>
    <row r="684" spans="1:14" ht="27.75" customHeight="1">
      <c r="A684" s="29"/>
      <c r="B684" s="29"/>
      <c r="C684" s="29" t="str">
        <f>A684&amp;B684</f>
        <v/>
      </c>
      <c r="D684" s="30">
        <f>VLOOKUP($C684,Asignaturas!$C$5:$D$261,2,0)</f>
        <v>0</v>
      </c>
      <c r="E684" s="95"/>
      <c r="F684" s="23"/>
      <c r="G684" s="31"/>
      <c r="H684" s="31"/>
      <c r="I684" s="23"/>
      <c r="J684" s="36">
        <f>+Tabla2[[#This Row],[DÍA DE ENTREGA]]+8</f>
        <v>8</v>
      </c>
      <c r="K684" s="23"/>
      <c r="L684" s="99"/>
      <c r="M684" s="29"/>
      <c r="N684" s="29"/>
    </row>
    <row r="685" spans="1:14" ht="27.75" customHeight="1">
      <c r="A685" s="29"/>
      <c r="B685" s="29"/>
      <c r="C685" s="29" t="str">
        <f>A685&amp;B685</f>
        <v/>
      </c>
      <c r="D685" s="30">
        <f>VLOOKUP($C685,Asignaturas!$C$5:$D$261,2,0)</f>
        <v>0</v>
      </c>
      <c r="E685" s="95"/>
      <c r="F685" s="23"/>
      <c r="G685" s="31"/>
      <c r="H685" s="31"/>
      <c r="I685" s="23"/>
      <c r="J685" s="36">
        <f>+Tabla2[[#This Row],[DÍA DE ENTREGA]]+8</f>
        <v>8</v>
      </c>
      <c r="K685" s="23"/>
      <c r="L685" s="99"/>
      <c r="M685" s="29"/>
      <c r="N685" s="29"/>
    </row>
    <row r="686" spans="1:14" ht="27.75" customHeight="1">
      <c r="A686" s="29"/>
      <c r="B686" s="29"/>
      <c r="C686" s="29" t="str">
        <f>A686&amp;B686</f>
        <v/>
      </c>
      <c r="D686" s="30">
        <f>VLOOKUP($C686,Asignaturas!$C$5:$D$261,2,0)</f>
        <v>0</v>
      </c>
      <c r="E686" s="95"/>
      <c r="F686" s="23"/>
      <c r="G686" s="31"/>
      <c r="H686" s="31"/>
      <c r="I686" s="23"/>
      <c r="J686" s="36">
        <f>+Tabla2[[#This Row],[DÍA DE ENTREGA]]+8</f>
        <v>8</v>
      </c>
      <c r="K686" s="23"/>
      <c r="L686" s="99"/>
      <c r="M686" s="29"/>
      <c r="N686" s="29"/>
    </row>
    <row r="687" spans="1:14" ht="27.75" customHeight="1">
      <c r="A687" s="29"/>
      <c r="B687" s="29"/>
      <c r="C687" s="29" t="str">
        <f>A687&amp;B687</f>
        <v/>
      </c>
      <c r="D687" s="30">
        <f>VLOOKUP($C687,Asignaturas!$C$5:$D$261,2,0)</f>
        <v>0</v>
      </c>
      <c r="E687" s="95"/>
      <c r="F687" s="23"/>
      <c r="G687" s="31"/>
      <c r="H687" s="31"/>
      <c r="I687" s="23"/>
      <c r="J687" s="36">
        <f>+Tabla2[[#This Row],[DÍA DE ENTREGA]]+8</f>
        <v>8</v>
      </c>
      <c r="K687" s="23"/>
      <c r="L687" s="99"/>
      <c r="M687" s="29"/>
      <c r="N687" s="29"/>
    </row>
    <row r="688" spans="1:14" ht="27.75" customHeight="1">
      <c r="A688" s="29"/>
      <c r="B688" s="29"/>
      <c r="C688" s="29" t="str">
        <f>A688&amp;B688</f>
        <v/>
      </c>
      <c r="D688" s="30">
        <f>VLOOKUP($C688,Asignaturas!$C$5:$D$261,2,0)</f>
        <v>0</v>
      </c>
      <c r="E688" s="95"/>
      <c r="F688" s="23"/>
      <c r="G688" s="31"/>
      <c r="H688" s="31"/>
      <c r="I688" s="23"/>
      <c r="J688" s="36">
        <f>+Tabla2[[#This Row],[DÍA DE ENTREGA]]+8</f>
        <v>8</v>
      </c>
      <c r="K688" s="23"/>
      <c r="L688" s="99"/>
      <c r="M688" s="29"/>
      <c r="N688" s="29"/>
    </row>
    <row r="689" spans="1:14" ht="27.75" customHeight="1">
      <c r="A689" s="29"/>
      <c r="B689" s="29"/>
      <c r="C689" s="29" t="str">
        <f>A689&amp;B689</f>
        <v/>
      </c>
      <c r="D689" s="30">
        <f>VLOOKUP($C689,Asignaturas!$C$5:$D$261,2,0)</f>
        <v>0</v>
      </c>
      <c r="E689" s="95"/>
      <c r="F689" s="23"/>
      <c r="G689" s="31"/>
      <c r="H689" s="31"/>
      <c r="I689" s="23"/>
      <c r="J689" s="36">
        <f>+Tabla2[[#This Row],[DÍA DE ENTREGA]]+8</f>
        <v>8</v>
      </c>
      <c r="K689" s="23"/>
      <c r="L689" s="99"/>
      <c r="M689" s="29"/>
      <c r="N689" s="29"/>
    </row>
    <row r="690" spans="1:14" ht="27.75" customHeight="1">
      <c r="A690" s="29"/>
      <c r="B690" s="29"/>
      <c r="C690" s="29" t="str">
        <f>A690&amp;B690</f>
        <v/>
      </c>
      <c r="D690" s="30">
        <f>VLOOKUP($C690,Asignaturas!$C$5:$D$261,2,0)</f>
        <v>0</v>
      </c>
      <c r="E690" s="95"/>
      <c r="F690" s="23"/>
      <c r="G690" s="31"/>
      <c r="H690" s="31"/>
      <c r="I690" s="23"/>
      <c r="J690" s="36">
        <f>+Tabla2[[#This Row],[DÍA DE ENTREGA]]+8</f>
        <v>8</v>
      </c>
      <c r="K690" s="23"/>
      <c r="L690" s="99"/>
      <c r="M690" s="29"/>
      <c r="N690" s="29"/>
    </row>
    <row r="691" spans="1:14" ht="27.75" customHeight="1">
      <c r="A691" s="29"/>
      <c r="B691" s="29"/>
      <c r="C691" s="29" t="str">
        <f>A691&amp;B691</f>
        <v/>
      </c>
      <c r="D691" s="30">
        <f>VLOOKUP($C691,Asignaturas!$C$5:$D$261,2,0)</f>
        <v>0</v>
      </c>
      <c r="E691" s="95"/>
      <c r="F691" s="23"/>
      <c r="G691" s="31"/>
      <c r="H691" s="31"/>
      <c r="I691" s="23"/>
      <c r="J691" s="36">
        <f>+Tabla2[[#This Row],[DÍA DE ENTREGA]]+8</f>
        <v>8</v>
      </c>
      <c r="K691" s="23"/>
      <c r="L691" s="99"/>
      <c r="M691" s="29"/>
      <c r="N691" s="29"/>
    </row>
    <row r="692" spans="1:14" ht="27.75" customHeight="1">
      <c r="A692" s="29"/>
      <c r="B692" s="29"/>
      <c r="C692" s="29" t="str">
        <f>A692&amp;B692</f>
        <v/>
      </c>
      <c r="D692" s="30">
        <f>VLOOKUP($C692,Asignaturas!$C$5:$D$261,2,0)</f>
        <v>0</v>
      </c>
      <c r="E692" s="95"/>
      <c r="F692" s="23"/>
      <c r="G692" s="31"/>
      <c r="H692" s="31"/>
      <c r="I692" s="23"/>
      <c r="J692" s="36">
        <f>+Tabla2[[#This Row],[DÍA DE ENTREGA]]+8</f>
        <v>8</v>
      </c>
      <c r="K692" s="23"/>
      <c r="L692" s="99"/>
      <c r="M692" s="29"/>
      <c r="N692" s="29"/>
    </row>
    <row r="693" spans="1:14" ht="27.75" customHeight="1">
      <c r="A693" s="29"/>
      <c r="B693" s="29"/>
      <c r="C693" s="29" t="str">
        <f>A693&amp;B693</f>
        <v/>
      </c>
      <c r="D693" s="30">
        <f>VLOOKUP($C693,Asignaturas!$C$5:$D$261,2,0)</f>
        <v>0</v>
      </c>
      <c r="E693" s="95"/>
      <c r="F693" s="23"/>
      <c r="G693" s="31"/>
      <c r="H693" s="31"/>
      <c r="I693" s="23"/>
      <c r="J693" s="36">
        <f>+Tabla2[[#This Row],[DÍA DE ENTREGA]]+8</f>
        <v>8</v>
      </c>
      <c r="K693" s="23"/>
      <c r="L693" s="99"/>
      <c r="M693" s="29"/>
      <c r="N693" s="29"/>
    </row>
  </sheetData>
  <dataValidations count="1">
    <dataValidation type="list" allowBlank="1" showInputMessage="1" showErrorMessage="1" sqref="I5:I693" xr:uid="{14958B0B-5D21-4B05-9E59-0CC51794169B}">
      <formula1>"1:00p.m., 6:30p.m."</formula1>
    </dataValidation>
  </dataValidations>
  <pageMargins left="0.25" right="0.25" top="0.75" bottom="0.75" header="0.3" footer="0.3"/>
  <pageSetup paperSize="9" fitToHeight="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AB29B22-AA53-429A-BFE1-A39593F9EC4D}">
          <x14:formula1>
            <xm:f>Asignaturas!$G$5:$G$31</xm:f>
          </x14:formula1>
          <xm:sqref>E46 E4:E42</xm:sqref>
        </x14:dataValidation>
        <x14:dataValidation type="list" allowBlank="1" showInputMessage="1" showErrorMessage="1" xr:uid="{04B16B4C-F148-4C61-9FC0-D7853C9D3AB5}">
          <x14:formula1>
            <xm:f>Asignaturas!$G$5:$G$41</xm:f>
          </x14:formula1>
          <xm:sqref>E47:E55 E43:E45</xm:sqref>
        </x14:dataValidation>
        <x14:dataValidation type="list" allowBlank="1" showInputMessage="1" showErrorMessage="1" xr:uid="{551B7A8B-16C3-442C-A46F-72AAFBDC2B12}">
          <x14:formula1>
            <xm:f>Asignaturas!$G$5:$G$71</xm:f>
          </x14:formula1>
          <xm:sqref>E56:E226</xm:sqref>
        </x14:dataValidation>
        <x14:dataValidation type="list" allowBlank="1" showInputMessage="1" showErrorMessage="1" xr:uid="{B4B898B9-C0A5-4E57-95BA-584EBEAB014D}">
          <x14:formula1>
            <xm:f>Asignaturas!$A$5:$A$264</xm:f>
          </x14:formula1>
          <xm:sqref>A5:A693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61BB2-9B46-4596-84F3-72A71E9A6464}">
  <sheetPr codeName="Hoja3"/>
  <dimension ref="A2:M466"/>
  <sheetViews>
    <sheetView showGridLines="0" workbookViewId="0">
      <selection activeCell="A51" sqref="A51:I51"/>
    </sheetView>
  </sheetViews>
  <sheetFormatPr defaultColWidth="9.140625" defaultRowHeight="15"/>
  <cols>
    <col min="1" max="1" width="12.42578125" customWidth="1"/>
    <col min="2" max="2" width="9.140625" customWidth="1"/>
    <col min="3" max="3" width="14.5703125" customWidth="1"/>
    <col min="4" max="4" width="52.5703125" customWidth="1"/>
    <col min="5" max="5" width="28.7109375" bestFit="1" customWidth="1"/>
    <col min="6" max="6" width="10" bestFit="1" customWidth="1"/>
    <col min="7" max="7" width="12.28515625" customWidth="1"/>
    <col min="8" max="8" width="14.5703125" customWidth="1"/>
    <col min="9" max="9" width="10.28515625" customWidth="1"/>
    <col min="10" max="10" width="13.140625" customWidth="1"/>
    <col min="11" max="11" width="18.85546875" bestFit="1" customWidth="1"/>
    <col min="18" max="18" width="8.85546875" customWidth="1"/>
  </cols>
  <sheetData>
    <row r="2" spans="1:11" ht="22.5">
      <c r="A2" s="112" t="s">
        <v>475</v>
      </c>
      <c r="B2" s="113"/>
      <c r="C2" s="113"/>
      <c r="D2" s="113"/>
      <c r="E2" s="113"/>
      <c r="F2" s="113"/>
      <c r="G2" s="113"/>
      <c r="H2" s="113"/>
      <c r="I2" s="113"/>
      <c r="J2" s="113"/>
    </row>
    <row r="4" spans="1:11" ht="36.75" customHeight="1">
      <c r="A4" s="32" t="s">
        <v>450</v>
      </c>
      <c r="B4" s="32" t="s">
        <v>451</v>
      </c>
      <c r="C4" s="32" t="s">
        <v>476</v>
      </c>
      <c r="D4" s="32" t="s">
        <v>477</v>
      </c>
      <c r="E4" s="32" t="s">
        <v>454</v>
      </c>
      <c r="F4" s="32" t="s">
        <v>455</v>
      </c>
      <c r="G4" s="33" t="s">
        <v>456</v>
      </c>
      <c r="H4" s="34" t="s">
        <v>478</v>
      </c>
      <c r="I4" s="32" t="s">
        <v>458</v>
      </c>
      <c r="J4" s="35" t="s">
        <v>479</v>
      </c>
      <c r="K4" s="32" t="s">
        <v>480</v>
      </c>
    </row>
    <row r="5" spans="1:11" ht="36.75" customHeight="1">
      <c r="A5" s="32" t="s">
        <v>177</v>
      </c>
      <c r="B5" s="11" t="s">
        <v>7</v>
      </c>
      <c r="C5" s="11" t="str">
        <f>A5&amp;B5</f>
        <v>A1MK2A</v>
      </c>
      <c r="D5" s="32" t="str">
        <f>VLOOKUP($C5,Asignaturas!$C$5:$D$261,2,0)</f>
        <v xml:space="preserve">VICTOR ALEJANDRO DE LA TORRE PALACIOS / </v>
      </c>
      <c r="E5" s="32" t="s">
        <v>30</v>
      </c>
      <c r="F5" s="32" t="s">
        <v>464</v>
      </c>
      <c r="G5" s="39">
        <v>46128</v>
      </c>
      <c r="H5" s="39">
        <v>46129</v>
      </c>
      <c r="I5" s="32" t="s">
        <v>481</v>
      </c>
      <c r="J5" s="33"/>
      <c r="K5" s="32"/>
    </row>
    <row r="6" spans="1:11" ht="36.75" customHeight="1">
      <c r="A6" s="32" t="s">
        <v>107</v>
      </c>
      <c r="B6" s="11" t="s">
        <v>7</v>
      </c>
      <c r="C6" s="11" t="str">
        <f t="shared" ref="C5:C18" si="0">A6&amp;B6</f>
        <v>A1DPRT9A</v>
      </c>
      <c r="D6" s="32" t="str">
        <f>VLOOKUP($C6,Asignaturas!$C$5:$D$261,2,0)</f>
        <v>MANUEL PRENDES GUARDIOLA /</v>
      </c>
      <c r="E6" s="66" t="s">
        <v>10</v>
      </c>
      <c r="F6" s="32" t="s">
        <v>464</v>
      </c>
      <c r="G6" s="39">
        <v>46134</v>
      </c>
      <c r="H6" s="39">
        <v>46135</v>
      </c>
      <c r="I6" s="32" t="s">
        <v>481</v>
      </c>
      <c r="J6" s="33"/>
      <c r="K6" s="32"/>
    </row>
    <row r="7" spans="1:11" ht="36.75" customHeight="1">
      <c r="A7" s="33" t="s">
        <v>403</v>
      </c>
      <c r="B7" s="11" t="s">
        <v>7</v>
      </c>
      <c r="C7" s="11" t="str">
        <f t="shared" si="0"/>
        <v>MATE03009A</v>
      </c>
      <c r="D7" s="32" t="str">
        <f>VLOOKUP($C7,Asignaturas!$C$5:$D$261,2,0)</f>
        <v>NESTOR FARÍAS / WILLIAN REYES</v>
      </c>
      <c r="E7" s="66" t="s">
        <v>10</v>
      </c>
      <c r="F7" s="32" t="s">
        <v>464</v>
      </c>
      <c r="G7" s="39">
        <v>46134</v>
      </c>
      <c r="H7" s="39">
        <v>46135</v>
      </c>
      <c r="I7" s="32" t="s">
        <v>481</v>
      </c>
      <c r="J7" s="33"/>
      <c r="K7" s="32"/>
    </row>
    <row r="8" spans="1:11" ht="36.75" customHeight="1">
      <c r="A8" s="32" t="s">
        <v>141</v>
      </c>
      <c r="B8" s="11" t="s">
        <v>7</v>
      </c>
      <c r="C8" s="11" t="str">
        <f t="shared" si="0"/>
        <v>A1FZ3A</v>
      </c>
      <c r="D8" s="32" t="str">
        <f>VLOOKUP($C8,Asignaturas!$C$5:$D$261,2,0)</f>
        <v xml:space="preserve">JORGE EDUARDO GALLO COSTA / </v>
      </c>
      <c r="E8" s="32" t="s">
        <v>10</v>
      </c>
      <c r="F8" s="32" t="s">
        <v>464</v>
      </c>
      <c r="G8" s="39">
        <v>46135</v>
      </c>
      <c r="H8" s="39">
        <v>46135</v>
      </c>
      <c r="I8" s="32" t="s">
        <v>481</v>
      </c>
      <c r="J8" s="33"/>
      <c r="K8" s="32"/>
    </row>
    <row r="9" spans="1:11" ht="36.75" customHeight="1">
      <c r="A9" s="32" t="s">
        <v>63</v>
      </c>
      <c r="B9" s="11" t="s">
        <v>7</v>
      </c>
      <c r="C9" s="11" t="str">
        <f t="shared" si="0"/>
        <v>A1CC1A</v>
      </c>
      <c r="D9" s="32" t="str">
        <f>VLOOKUP($C9,Asignaturas!$C$5:$D$261,2,0)</f>
        <v xml:space="preserve">JORGE ARMANDO SANCHEZ FARFAN / </v>
      </c>
      <c r="E9" s="66" t="s">
        <v>30</v>
      </c>
      <c r="F9" s="32" t="s">
        <v>464</v>
      </c>
      <c r="G9" s="39">
        <v>46135</v>
      </c>
      <c r="H9" s="39">
        <v>46135</v>
      </c>
      <c r="I9" s="32" t="s">
        <v>481</v>
      </c>
      <c r="J9" s="33"/>
      <c r="K9" s="32"/>
    </row>
    <row r="10" spans="1:11" ht="36.75" customHeight="1">
      <c r="A10" s="32" t="s">
        <v>405</v>
      </c>
      <c r="B10" s="11" t="s">
        <v>7</v>
      </c>
      <c r="C10" s="11" t="str">
        <f t="shared" si="0"/>
        <v>MATE03010A</v>
      </c>
      <c r="D10" s="32" t="str">
        <f>VLOOKUP($C10,Asignaturas!$C$5:$D$261,2,0)</f>
        <v xml:space="preserve">RANDY JOEL FERNÁNDEZ PALOMINO / </v>
      </c>
      <c r="E10" s="66" t="s">
        <v>10</v>
      </c>
      <c r="F10" s="32" t="s">
        <v>464</v>
      </c>
      <c r="G10" s="39">
        <v>46135</v>
      </c>
      <c r="H10" s="39">
        <v>46135</v>
      </c>
      <c r="I10" s="32" t="s">
        <v>481</v>
      </c>
      <c r="J10" s="33"/>
      <c r="K10" s="32"/>
    </row>
    <row r="11" spans="1:11" ht="36.75" customHeight="1">
      <c r="A11" s="32" t="s">
        <v>400</v>
      </c>
      <c r="B11" s="11" t="s">
        <v>15</v>
      </c>
      <c r="C11" s="11" t="str">
        <f t="shared" si="0"/>
        <v>MATE03008B</v>
      </c>
      <c r="D11" s="32" t="str">
        <f>VLOOKUP($C11,Asignaturas!$C$5:$D$261,2,0)</f>
        <v xml:space="preserve">JAVIER FARFÁN NAVARRO / </v>
      </c>
      <c r="E11" s="66" t="s">
        <v>10</v>
      </c>
      <c r="F11" s="32" t="s">
        <v>471</v>
      </c>
      <c r="G11" s="39">
        <v>46135</v>
      </c>
      <c r="H11" s="39">
        <v>46135</v>
      </c>
      <c r="I11" s="32" t="s">
        <v>482</v>
      </c>
      <c r="J11" s="33"/>
      <c r="K11" s="32"/>
    </row>
    <row r="12" spans="1:11" ht="36.75" customHeight="1">
      <c r="A12" s="32" t="s">
        <v>400</v>
      </c>
      <c r="B12" s="11" t="s">
        <v>18</v>
      </c>
      <c r="C12" s="11" t="str">
        <f t="shared" si="0"/>
        <v>MATE03008C</v>
      </c>
      <c r="D12" s="32" t="str">
        <f>VLOOKUP($C12,Asignaturas!$C$5:$D$261,2,0)</f>
        <v xml:space="preserve">JAVIER FARFÁN NAVARRO / </v>
      </c>
      <c r="E12" s="66" t="s">
        <v>10</v>
      </c>
      <c r="F12" s="32" t="s">
        <v>471</v>
      </c>
      <c r="G12" s="39">
        <v>46135</v>
      </c>
      <c r="H12" s="39">
        <v>46135</v>
      </c>
      <c r="I12" s="32" t="s">
        <v>482</v>
      </c>
      <c r="J12" s="33"/>
      <c r="K12" s="32"/>
    </row>
    <row r="13" spans="1:11" ht="36.75" customHeight="1">
      <c r="A13" s="32" t="s">
        <v>341</v>
      </c>
      <c r="B13" s="11" t="s">
        <v>18</v>
      </c>
      <c r="C13" s="11" t="str">
        <f t="shared" si="0"/>
        <v>HC1C</v>
      </c>
      <c r="D13" s="32" t="str">
        <f>VLOOKUP($C13,Asignaturas!$C$5:$D$261,2,0)</f>
        <v xml:space="preserve">ADRIANA ISABEL LAOS LEVAGGI / </v>
      </c>
      <c r="E13" s="66" t="s">
        <v>10</v>
      </c>
      <c r="F13" s="32" t="s">
        <v>464</v>
      </c>
      <c r="G13" s="39">
        <v>46136</v>
      </c>
      <c r="H13" s="39">
        <v>46139</v>
      </c>
      <c r="I13" s="32" t="s">
        <v>481</v>
      </c>
      <c r="J13" s="33"/>
      <c r="K13" s="32"/>
    </row>
    <row r="14" spans="1:11" ht="36.75" customHeight="1">
      <c r="A14" s="32" t="s">
        <v>400</v>
      </c>
      <c r="B14" s="11" t="s">
        <v>7</v>
      </c>
      <c r="C14" s="11" t="str">
        <f t="shared" si="0"/>
        <v>MATE03008A</v>
      </c>
      <c r="D14" s="32" t="str">
        <f>VLOOKUP($C14,Asignaturas!$C$5:$D$261,2,0)</f>
        <v xml:space="preserve">JAVIER FARFÁN NAVARRO / </v>
      </c>
      <c r="E14" s="32" t="s">
        <v>10</v>
      </c>
      <c r="F14" s="32" t="s">
        <v>464</v>
      </c>
      <c r="G14" s="39">
        <v>46140</v>
      </c>
      <c r="H14" s="39">
        <v>46141</v>
      </c>
      <c r="I14" s="32" t="s">
        <v>481</v>
      </c>
      <c r="J14" s="33"/>
      <c r="K14" s="32"/>
    </row>
    <row r="15" spans="1:11" ht="36.75" customHeight="1">
      <c r="A15" s="32" t="s">
        <v>135</v>
      </c>
      <c r="B15" s="11" t="s">
        <v>7</v>
      </c>
      <c r="C15" s="11" t="str">
        <f t="shared" si="0"/>
        <v>A1FZ1A</v>
      </c>
      <c r="D15" s="32" t="str">
        <f>VLOOKUP($C15,Asignaturas!$C$5:$D$261,2,0)</f>
        <v xml:space="preserve">JUAN RICARDO MATÍAS PALMA / </v>
      </c>
      <c r="E15" s="32" t="s">
        <v>10</v>
      </c>
      <c r="F15" s="32" t="s">
        <v>464</v>
      </c>
      <c r="G15" s="39">
        <v>46140</v>
      </c>
      <c r="H15" s="39">
        <v>46141</v>
      </c>
      <c r="I15" s="32" t="s">
        <v>481</v>
      </c>
      <c r="J15" s="33"/>
      <c r="K15" s="32"/>
    </row>
    <row r="16" spans="1:11" ht="36.75" customHeight="1">
      <c r="A16" s="33" t="s">
        <v>398</v>
      </c>
      <c r="B16" s="11" t="s">
        <v>7</v>
      </c>
      <c r="C16" s="11" t="str">
        <f t="shared" si="0"/>
        <v>MATE03007A</v>
      </c>
      <c r="D16" s="32" t="str">
        <f>VLOOKUP($C16,Asignaturas!$C$5:$D$261,2,0)</f>
        <v>CARLOS IMÁN ANCAJIMA /</v>
      </c>
      <c r="E16" s="32" t="s">
        <v>10</v>
      </c>
      <c r="F16" s="32" t="s">
        <v>464</v>
      </c>
      <c r="G16" s="39">
        <v>46140</v>
      </c>
      <c r="H16" s="39">
        <v>46141</v>
      </c>
      <c r="I16" s="32" t="s">
        <v>481</v>
      </c>
      <c r="J16" s="33"/>
      <c r="K16" s="32"/>
    </row>
    <row r="17" spans="1:11" ht="36.75" customHeight="1">
      <c r="A17" s="32" t="s">
        <v>412</v>
      </c>
      <c r="B17" s="11" t="s">
        <v>7</v>
      </c>
      <c r="C17" s="11" t="str">
        <f t="shared" si="0"/>
        <v>MICR03005A</v>
      </c>
      <c r="D17" s="32" t="str">
        <f>VLOOKUP($C17,Asignaturas!$C$5:$D$261,2,0)</f>
        <v xml:space="preserve">ALFONSO GUILLERMO DULANTO RISHING / </v>
      </c>
      <c r="E17" s="32" t="s">
        <v>10</v>
      </c>
      <c r="F17" s="32" t="s">
        <v>471</v>
      </c>
      <c r="G17" s="39">
        <v>46140</v>
      </c>
      <c r="H17" s="39">
        <v>46141</v>
      </c>
      <c r="I17" s="32" t="s">
        <v>482</v>
      </c>
      <c r="J17" s="33"/>
      <c r="K17" s="32"/>
    </row>
    <row r="18" spans="1:11" ht="36.75" customHeight="1">
      <c r="A18" s="32" t="s">
        <v>432</v>
      </c>
      <c r="B18" s="11" t="s">
        <v>7</v>
      </c>
      <c r="C18" s="11" t="str">
        <f t="shared" si="0"/>
        <v>RCOA</v>
      </c>
      <c r="D18" s="32" t="str">
        <f>VLOOKUP($C18,Asignaturas!$C$5:$D$261,2,0)</f>
        <v>FERNANDO ALFREDO RIOFRIO ZUÑIGA /</v>
      </c>
      <c r="E18" s="66" t="s">
        <v>10</v>
      </c>
      <c r="F18" s="32" t="s">
        <v>471</v>
      </c>
      <c r="G18" s="39">
        <v>46141</v>
      </c>
      <c r="H18" s="39">
        <v>46142</v>
      </c>
      <c r="I18" s="32" t="s">
        <v>482</v>
      </c>
      <c r="J18" s="33"/>
      <c r="K18" s="32"/>
    </row>
    <row r="19" spans="1:11" ht="36.75" customHeight="1">
      <c r="A19" s="32" t="s">
        <v>138</v>
      </c>
      <c r="B19" s="11" t="s">
        <v>7</v>
      </c>
      <c r="C19" s="11" t="str">
        <f t="shared" ref="C19:C20" si="1">A19&amp;B19</f>
        <v>A1FZ2A</v>
      </c>
      <c r="D19" s="32" t="str">
        <f>VLOOKUP($C19,Asignaturas!$C$5:$D$261,2,0)</f>
        <v>RAFAEL ANTONIO VALERA MORENO /</v>
      </c>
      <c r="E19" s="66" t="s">
        <v>10</v>
      </c>
      <c r="F19" s="32" t="s">
        <v>471</v>
      </c>
      <c r="G19" s="39">
        <v>46141</v>
      </c>
      <c r="H19" s="39">
        <v>46142</v>
      </c>
      <c r="I19" s="32" t="s">
        <v>482</v>
      </c>
      <c r="J19" s="33"/>
      <c r="K19" s="32"/>
    </row>
    <row r="20" spans="1:11" ht="36.75" customHeight="1">
      <c r="A20" s="32" t="s">
        <v>138</v>
      </c>
      <c r="B20" s="11" t="s">
        <v>15</v>
      </c>
      <c r="C20" s="11" t="str">
        <f t="shared" si="1"/>
        <v>A1FZ2B</v>
      </c>
      <c r="D20" s="32" t="str">
        <f>VLOOKUP($C20,Asignaturas!$C$5:$D$261,2,0)</f>
        <v>RAFAEL ANTONIO VALERA MORENO /</v>
      </c>
      <c r="E20" s="32" t="s">
        <v>10</v>
      </c>
      <c r="F20" s="32" t="s">
        <v>471</v>
      </c>
      <c r="G20" s="39">
        <v>46141</v>
      </c>
      <c r="H20" s="39">
        <v>46142</v>
      </c>
      <c r="I20" s="32" t="s">
        <v>482</v>
      </c>
      <c r="J20" s="33"/>
      <c r="K20" s="32"/>
    </row>
    <row r="21" spans="1:11" ht="36.75" customHeight="1">
      <c r="A21" s="33" t="s">
        <v>383</v>
      </c>
      <c r="B21" s="11" t="s">
        <v>7</v>
      </c>
      <c r="C21" s="11" t="str">
        <f>A21&amp;B21</f>
        <v>MACR03002A</v>
      </c>
      <c r="D21" s="32" t="str">
        <f>VLOOKUP($C21,Asignaturas!$C$5:$D$261,2,0)</f>
        <v>LUIS ALONSO CASAVERDE ANTÓN /</v>
      </c>
      <c r="E21" s="32" t="s">
        <v>10</v>
      </c>
      <c r="F21" s="32" t="s">
        <v>471</v>
      </c>
      <c r="G21" s="39">
        <v>46141</v>
      </c>
      <c r="H21" s="39">
        <v>46142</v>
      </c>
      <c r="I21" s="32" t="s">
        <v>482</v>
      </c>
      <c r="J21" s="33"/>
      <c r="K21" s="32"/>
    </row>
    <row r="22" spans="1:11" ht="36.75" customHeight="1">
      <c r="A22" s="32" t="s">
        <v>354</v>
      </c>
      <c r="B22" s="11" t="s">
        <v>18</v>
      </c>
      <c r="C22" s="11" t="str">
        <f>A22&amp;B22</f>
        <v>HC3C</v>
      </c>
      <c r="D22" s="32" t="str">
        <f>VLOOKUP($C22,Asignaturas!$C$5:$D$261,2,0)</f>
        <v xml:space="preserve">ADRIANA ISABEL LAOS LEVAGGI / </v>
      </c>
      <c r="E22" s="66" t="s">
        <v>10</v>
      </c>
      <c r="F22" s="32" t="s">
        <v>471</v>
      </c>
      <c r="G22" s="39">
        <v>46142</v>
      </c>
      <c r="H22" s="39">
        <v>46146</v>
      </c>
      <c r="I22" s="32" t="s">
        <v>482</v>
      </c>
      <c r="J22" s="33"/>
      <c r="K22" s="32"/>
    </row>
    <row r="23" spans="1:11" ht="36.75" customHeight="1">
      <c r="A23" s="32" t="s">
        <v>341</v>
      </c>
      <c r="B23" s="11" t="s">
        <v>347</v>
      </c>
      <c r="C23" s="11" t="str">
        <f>A23&amp;B23</f>
        <v>HC1E</v>
      </c>
      <c r="D23" s="32" t="str">
        <f>VLOOKUP($C23,Asignaturas!$C$5:$D$261,2,0)</f>
        <v xml:space="preserve">JOSE LUIS BELLIDO NINA / </v>
      </c>
      <c r="E23" s="32" t="s">
        <v>10</v>
      </c>
      <c r="F23" s="32" t="s">
        <v>471</v>
      </c>
      <c r="G23" s="39">
        <v>46142</v>
      </c>
      <c r="H23" s="39">
        <v>46146</v>
      </c>
      <c r="I23" s="32" t="s">
        <v>482</v>
      </c>
      <c r="J23" s="33"/>
      <c r="K23" s="32"/>
    </row>
    <row r="24" spans="1:11" ht="36.75" customHeight="1">
      <c r="A24" s="32" t="s">
        <v>341</v>
      </c>
      <c r="B24" s="11" t="s">
        <v>20</v>
      </c>
      <c r="C24" s="11" t="str">
        <f>A24&amp;B24</f>
        <v>HC1D</v>
      </c>
      <c r="D24" s="32" t="str">
        <f>VLOOKUP($C24,Asignaturas!$C$5:$D$261,2,0)</f>
        <v xml:space="preserve">JOSE LUIS BELLIDO NINA / </v>
      </c>
      <c r="E24" s="32" t="s">
        <v>10</v>
      </c>
      <c r="F24" s="32" t="s">
        <v>471</v>
      </c>
      <c r="G24" s="39">
        <v>46142</v>
      </c>
      <c r="H24" s="39">
        <v>46146</v>
      </c>
      <c r="I24" s="32" t="s">
        <v>482</v>
      </c>
      <c r="J24" s="33"/>
      <c r="K24" s="32"/>
    </row>
    <row r="25" spans="1:11" ht="36.75" customHeight="1">
      <c r="A25" s="32" t="s">
        <v>315</v>
      </c>
      <c r="B25" s="11" t="s">
        <v>18</v>
      </c>
      <c r="C25" s="11" t="str">
        <f>A25&amp;B25</f>
        <v>ETCC</v>
      </c>
      <c r="D25" s="32" t="str">
        <f>VLOOKUP($C25,Asignaturas!$C$5:$D$261,2,0)</f>
        <v>ZHENIA DJANIRA APARICIO ALDANA /</v>
      </c>
      <c r="E25" s="66" t="s">
        <v>10</v>
      </c>
      <c r="F25" s="32" t="s">
        <v>464</v>
      </c>
      <c r="G25" s="39">
        <v>46146</v>
      </c>
      <c r="H25" s="39">
        <v>46147</v>
      </c>
      <c r="I25" s="32" t="s">
        <v>481</v>
      </c>
      <c r="J25" s="33"/>
      <c r="K25" s="32"/>
    </row>
    <row r="26" spans="1:11" ht="36.75" customHeight="1">
      <c r="A26" s="32" t="s">
        <v>306</v>
      </c>
      <c r="B26" s="11" t="s">
        <v>7</v>
      </c>
      <c r="C26" s="11" t="str">
        <f>A26&amp;B26</f>
        <v>ESTA03005A</v>
      </c>
      <c r="D26" s="32" t="str">
        <f>VLOOKUP($C26,Asignaturas!$C$5:$D$261,2,0)</f>
        <v xml:space="preserve">RANDY JOEL FERNÁNDEZ PALOMINO / </v>
      </c>
      <c r="E26" s="66" t="s">
        <v>10</v>
      </c>
      <c r="F26" s="32" t="s">
        <v>464</v>
      </c>
      <c r="G26" s="39">
        <v>46146</v>
      </c>
      <c r="H26" s="39">
        <v>46147</v>
      </c>
      <c r="I26" s="32" t="s">
        <v>481</v>
      </c>
      <c r="J26" s="33"/>
      <c r="K26" s="32"/>
    </row>
    <row r="27" spans="1:11" ht="36.75" customHeight="1">
      <c r="A27" s="32" t="s">
        <v>212</v>
      </c>
      <c r="B27" s="11" t="s">
        <v>7</v>
      </c>
      <c r="C27" s="11" t="str">
        <f>A27&amp;B27</f>
        <v>A1OP1A</v>
      </c>
      <c r="D27" s="32" t="str">
        <f>VLOOKUP($C27,Asignaturas!$C$5:$D$261,2,0)</f>
        <v xml:space="preserve">EDUARDO ALONSO SANCHEZ RUIZ / </v>
      </c>
      <c r="E27" s="66" t="s">
        <v>10</v>
      </c>
      <c r="F27" s="32" t="s">
        <v>464</v>
      </c>
      <c r="G27" s="39">
        <v>46146</v>
      </c>
      <c r="H27" s="39">
        <v>46147</v>
      </c>
      <c r="I27" s="32" t="s">
        <v>481</v>
      </c>
      <c r="J27" s="33"/>
      <c r="K27" s="32"/>
    </row>
    <row r="28" spans="1:11" ht="36.75" customHeight="1">
      <c r="A28" s="32" t="s">
        <v>255</v>
      </c>
      <c r="B28" s="11" t="s">
        <v>18</v>
      </c>
      <c r="C28" s="11" t="str">
        <f>A28&amp;B28</f>
        <v>DSOC</v>
      </c>
      <c r="D28" s="32" t="str">
        <f>VLOOKUP($C28,Asignaturas!$C$5:$D$261,2,0)</f>
        <v>JOSÉ LUIS CHINGUEL BELTRAN /</v>
      </c>
      <c r="E28" s="66" t="s">
        <v>10</v>
      </c>
      <c r="F28" s="32" t="s">
        <v>464</v>
      </c>
      <c r="G28" s="39">
        <v>46146</v>
      </c>
      <c r="H28" s="39">
        <v>46147</v>
      </c>
      <c r="I28" s="32" t="s">
        <v>481</v>
      </c>
      <c r="J28" s="33"/>
      <c r="K28" s="32"/>
    </row>
    <row r="29" spans="1:11" ht="36.75" customHeight="1">
      <c r="A29" s="32" t="s">
        <v>167</v>
      </c>
      <c r="B29" s="11" t="s">
        <v>7</v>
      </c>
      <c r="C29" s="11" t="str">
        <f>A29&amp;B29</f>
        <v>A1LOGA</v>
      </c>
      <c r="D29" s="32" t="str">
        <f>VLOOKUP($C29,Asignaturas!$C$5:$D$261,2,0)</f>
        <v xml:space="preserve">NESTOR JAVIER FARIAS MORCILLO / </v>
      </c>
      <c r="E29" s="66" t="s">
        <v>10</v>
      </c>
      <c r="F29" s="32" t="s">
        <v>464</v>
      </c>
      <c r="G29" s="39">
        <v>46146</v>
      </c>
      <c r="H29" s="39">
        <v>46147</v>
      </c>
      <c r="I29" s="32" t="s">
        <v>481</v>
      </c>
      <c r="J29" s="33"/>
      <c r="K29" s="32"/>
    </row>
    <row r="30" spans="1:11" ht="36.75" customHeight="1">
      <c r="A30" s="32" t="s">
        <v>323</v>
      </c>
      <c r="B30" s="11" t="s">
        <v>7</v>
      </c>
      <c r="C30" s="11" t="str">
        <f>A30&amp;B30</f>
        <v>FINZ03032A</v>
      </c>
      <c r="D30" s="32" t="str">
        <f>VLOOKUP($C30,Asignaturas!$C$5:$D$261,2,0)</f>
        <v xml:space="preserve">BRENDA SILUPÚ GARCÉS / SERGIO DAVID REYES LANDA / </v>
      </c>
      <c r="E30" s="66" t="s">
        <v>14</v>
      </c>
      <c r="F30" s="32" t="s">
        <v>464</v>
      </c>
      <c r="G30" s="39">
        <v>46146</v>
      </c>
      <c r="H30" s="39">
        <v>46147</v>
      </c>
      <c r="I30" s="32" t="s">
        <v>481</v>
      </c>
      <c r="J30" s="33"/>
      <c r="K30" s="32"/>
    </row>
    <row r="31" spans="1:11" ht="36.75" customHeight="1">
      <c r="A31" s="32" t="s">
        <v>210</v>
      </c>
      <c r="B31" s="11" t="s">
        <v>7</v>
      </c>
      <c r="C31" s="11" t="str">
        <f t="shared" ref="C31" si="2">A31&amp;B31</f>
        <v>A1MT3A</v>
      </c>
      <c r="D31" s="32" t="str">
        <f>VLOOKUP($C31,Asignaturas!$C$5:$D$261,2,0)</f>
        <v xml:space="preserve">JAIME GERARDO VILLASANTE ABRAMONTE / </v>
      </c>
      <c r="E31" s="66" t="s">
        <v>10</v>
      </c>
      <c r="F31" s="32" t="s">
        <v>471</v>
      </c>
      <c r="G31" s="39">
        <v>46146</v>
      </c>
      <c r="H31" s="39">
        <v>46147</v>
      </c>
      <c r="I31" s="32" t="s">
        <v>482</v>
      </c>
      <c r="J31" s="33"/>
      <c r="K31" s="32"/>
    </row>
    <row r="32" spans="1:11" ht="36.75" customHeight="1">
      <c r="A32" s="32" t="s">
        <v>210</v>
      </c>
      <c r="B32" s="11" t="s">
        <v>15</v>
      </c>
      <c r="C32" s="11" t="str">
        <f>A32&amp;B32</f>
        <v>A1MT3B</v>
      </c>
      <c r="D32" s="32" t="str">
        <f>VLOOKUP($C32,Asignaturas!$C$5:$D$261,2,0)</f>
        <v xml:space="preserve">JAIME GERARDO VILLASANTE ABRAMONTE / </v>
      </c>
      <c r="E32" s="66" t="s">
        <v>10</v>
      </c>
      <c r="F32" s="32" t="s">
        <v>471</v>
      </c>
      <c r="G32" s="39">
        <v>46146</v>
      </c>
      <c r="H32" s="39">
        <v>46147</v>
      </c>
      <c r="I32" s="32" t="s">
        <v>482</v>
      </c>
      <c r="J32" s="33"/>
      <c r="K32" s="32"/>
    </row>
    <row r="33" spans="1:11" ht="36.75" customHeight="1">
      <c r="A33" s="32" t="s">
        <v>313</v>
      </c>
      <c r="B33" s="11" t="s">
        <v>7</v>
      </c>
      <c r="C33" s="11" t="str">
        <f>A33&amp;B33</f>
        <v>ESTA03008A</v>
      </c>
      <c r="D33" s="32" t="str">
        <f>VLOOKUP($C33,Asignaturas!$C$5:$D$261,2,0)</f>
        <v xml:space="preserve">CRISTIAN ADDERLY MARAVI MENESES / </v>
      </c>
      <c r="E33" s="32" t="s">
        <v>10</v>
      </c>
      <c r="F33" s="32" t="s">
        <v>471</v>
      </c>
      <c r="G33" s="39">
        <v>46146</v>
      </c>
      <c r="H33" s="39">
        <v>46147</v>
      </c>
      <c r="I33" s="32" t="s">
        <v>482</v>
      </c>
      <c r="J33" s="33"/>
      <c r="K33" s="32"/>
    </row>
    <row r="34" spans="1:11" ht="36.75" customHeight="1">
      <c r="A34" s="32" t="s">
        <v>74</v>
      </c>
      <c r="B34" s="11" t="s">
        <v>7</v>
      </c>
      <c r="C34" s="11" t="str">
        <f>A34&amp;B34</f>
        <v>A1CF1A</v>
      </c>
      <c r="D34" s="32" t="str">
        <f>VLOOKUP($C34,Asignaturas!$C$5:$D$261,2,0)</f>
        <v>MARIA ELENA ARCE ALMENARA /</v>
      </c>
      <c r="E34" s="66" t="s">
        <v>10</v>
      </c>
      <c r="F34" s="32" t="s">
        <v>464</v>
      </c>
      <c r="G34" s="39">
        <v>46147</v>
      </c>
      <c r="H34" s="39">
        <v>46148</v>
      </c>
      <c r="I34" s="32" t="s">
        <v>481</v>
      </c>
      <c r="J34" s="33"/>
      <c r="K34" s="32"/>
    </row>
    <row r="35" spans="1:11" ht="36.75" customHeight="1">
      <c r="A35" s="32" t="s">
        <v>255</v>
      </c>
      <c r="B35" s="11" t="s">
        <v>7</v>
      </c>
      <c r="C35" s="11" t="str">
        <f>A35&amp;B35</f>
        <v>DSOA</v>
      </c>
      <c r="D35" s="32" t="str">
        <f>VLOOKUP($C35,Asignaturas!$C$5:$D$261,2,0)</f>
        <v>RENATO CÁRCAMO SEMINARIO /</v>
      </c>
      <c r="E35" s="66" t="s">
        <v>10</v>
      </c>
      <c r="F35" s="32" t="s">
        <v>464</v>
      </c>
      <c r="G35" s="39">
        <v>46147</v>
      </c>
      <c r="H35" s="39">
        <v>46148</v>
      </c>
      <c r="I35" s="32" t="s">
        <v>481</v>
      </c>
      <c r="J35" s="33"/>
      <c r="K35" s="32"/>
    </row>
    <row r="36" spans="1:11" ht="36.75" customHeight="1">
      <c r="A36" s="32" t="s">
        <v>255</v>
      </c>
      <c r="B36" s="11" t="s">
        <v>15</v>
      </c>
      <c r="C36" s="11" t="str">
        <f>A36&amp;B36</f>
        <v>DSOB</v>
      </c>
      <c r="D36" s="32" t="str">
        <f>VLOOKUP($C36,Asignaturas!$C$5:$D$261,2,0)</f>
        <v>RENATO CÁRCAMO SEMINARIO /</v>
      </c>
      <c r="E36" s="66" t="s">
        <v>10</v>
      </c>
      <c r="F36" s="32" t="s">
        <v>464</v>
      </c>
      <c r="G36" s="39">
        <v>46147</v>
      </c>
      <c r="H36" s="39">
        <v>46148</v>
      </c>
      <c r="I36" s="32" t="s">
        <v>481</v>
      </c>
      <c r="J36" s="33"/>
      <c r="K36" s="32"/>
    </row>
    <row r="37" spans="1:11" ht="36.75" customHeight="1">
      <c r="A37" s="32" t="s">
        <v>111</v>
      </c>
      <c r="B37" s="11" t="s">
        <v>7</v>
      </c>
      <c r="C37" s="11" t="str">
        <f>A37&amp;B37</f>
        <v>A1EC1A</v>
      </c>
      <c r="D37" s="32" t="str">
        <f>VLOOKUP($C37,Asignaturas!$C$5:$D$261,2,0)</f>
        <v>INGRID CECILIA CASANA ORTEGA /</v>
      </c>
      <c r="E37" s="66" t="s">
        <v>14</v>
      </c>
      <c r="F37" s="32" t="s">
        <v>471</v>
      </c>
      <c r="G37" s="39">
        <v>46147</v>
      </c>
      <c r="H37" s="39">
        <v>46148</v>
      </c>
      <c r="I37" s="33" t="s">
        <v>482</v>
      </c>
      <c r="J37" s="33"/>
      <c r="K37" s="32"/>
    </row>
    <row r="38" spans="1:11" ht="36.75" customHeight="1">
      <c r="A38" s="32" t="s">
        <v>111</v>
      </c>
      <c r="B38" s="11" t="s">
        <v>15</v>
      </c>
      <c r="C38" s="11" t="str">
        <f>A38&amp;B38</f>
        <v>A1EC1B</v>
      </c>
      <c r="D38" s="32" t="str">
        <f>VLOOKUP($C38,Asignaturas!$C$5:$D$261,2,0)</f>
        <v>INGRID CECILIA CASANA ORTEGA /</v>
      </c>
      <c r="E38" s="66" t="s">
        <v>14</v>
      </c>
      <c r="F38" s="32" t="s">
        <v>471</v>
      </c>
      <c r="G38" s="39">
        <v>46147</v>
      </c>
      <c r="H38" s="39">
        <v>46148</v>
      </c>
      <c r="I38" s="33" t="s">
        <v>482</v>
      </c>
      <c r="J38" s="33"/>
      <c r="K38" s="32"/>
    </row>
    <row r="39" spans="1:11" ht="36.75" customHeight="1">
      <c r="A39" s="32" t="s">
        <v>341</v>
      </c>
      <c r="B39" s="11" t="s">
        <v>20</v>
      </c>
      <c r="C39" s="11" t="str">
        <f>A39&amp;B39</f>
        <v>HC1D</v>
      </c>
      <c r="D39" s="32" t="str">
        <f>VLOOKUP($C39,Asignaturas!$C$5:$D$261,2,0)</f>
        <v xml:space="preserve">JOSE LUIS BELLIDO NINA / </v>
      </c>
      <c r="E39" s="66" t="s">
        <v>14</v>
      </c>
      <c r="F39" s="32" t="s">
        <v>471</v>
      </c>
      <c r="G39" s="39">
        <v>46147</v>
      </c>
      <c r="H39" s="39">
        <v>46148</v>
      </c>
      <c r="I39" s="33" t="s">
        <v>482</v>
      </c>
      <c r="J39" s="33"/>
      <c r="K39" s="32"/>
    </row>
    <row r="40" spans="1:11" ht="36.75" customHeight="1">
      <c r="A40" s="32" t="s">
        <v>341</v>
      </c>
      <c r="B40" s="11" t="s">
        <v>347</v>
      </c>
      <c r="C40" s="11" t="str">
        <f>A40&amp;B40</f>
        <v>HC1E</v>
      </c>
      <c r="D40" s="32" t="str">
        <f>VLOOKUP($C40,Asignaturas!$C$5:$D$261,2,0)</f>
        <v xml:space="preserve">JOSE LUIS BELLIDO NINA / </v>
      </c>
      <c r="E40" s="66" t="s">
        <v>14</v>
      </c>
      <c r="F40" s="32" t="s">
        <v>471</v>
      </c>
      <c r="G40" s="39">
        <v>46147</v>
      </c>
      <c r="H40" s="39">
        <v>46148</v>
      </c>
      <c r="I40" s="33" t="s">
        <v>482</v>
      </c>
      <c r="J40" s="33"/>
      <c r="K40" s="32"/>
    </row>
    <row r="41" spans="1:11" ht="36.75" customHeight="1">
      <c r="A41" s="32" t="s">
        <v>74</v>
      </c>
      <c r="B41" s="11" t="s">
        <v>15</v>
      </c>
      <c r="C41" s="11" t="str">
        <f>A41&amp;B41</f>
        <v>A1CF1B</v>
      </c>
      <c r="D41" s="32" t="str">
        <f>VLOOKUP($C41,Asignaturas!$C$5:$D$261,2,0)</f>
        <v xml:space="preserve">MARIA JESÚS FARFÁN MANRIQUE / </v>
      </c>
      <c r="E41" s="66" t="s">
        <v>10</v>
      </c>
      <c r="F41" s="32" t="s">
        <v>471</v>
      </c>
      <c r="G41" s="39">
        <v>46148</v>
      </c>
      <c r="H41" s="39">
        <v>46149</v>
      </c>
      <c r="I41" s="72" t="s">
        <v>482</v>
      </c>
      <c r="J41" s="33"/>
      <c r="K41" s="32"/>
    </row>
    <row r="42" spans="1:11" ht="36.75" customHeight="1">
      <c r="A42" s="32" t="s">
        <v>159</v>
      </c>
      <c r="B42" s="11" t="s">
        <v>7</v>
      </c>
      <c r="C42" s="11" t="str">
        <f>A42&amp;B42</f>
        <v>A1GP2A</v>
      </c>
      <c r="D42" s="32" t="str">
        <f>VLOOKUP($C42,Asignaturas!$C$5:$D$261,2,0)</f>
        <v xml:space="preserve">JACQUELINE MARIELA GARCÍA ROJAS / </v>
      </c>
      <c r="E42" s="66" t="s">
        <v>10</v>
      </c>
      <c r="F42" s="32" t="s">
        <v>471</v>
      </c>
      <c r="G42" s="39">
        <v>46148</v>
      </c>
      <c r="H42" s="39">
        <v>46149</v>
      </c>
      <c r="I42" s="72" t="s">
        <v>482</v>
      </c>
      <c r="J42" s="33"/>
      <c r="K42" s="32"/>
    </row>
    <row r="43" spans="1:11" ht="36.75" customHeight="1">
      <c r="A43" s="32" t="s">
        <v>116</v>
      </c>
      <c r="B43" s="11" t="s">
        <v>7</v>
      </c>
      <c r="C43" s="11" t="str">
        <f>A43&amp;B43</f>
        <v>A1EC2A</v>
      </c>
      <c r="D43" s="32" t="str">
        <f>VLOOKUP($C43,Asignaturas!$C$5:$D$261,2,0)</f>
        <v xml:space="preserve">FRANCISCO LEVI TRUJILLO VARGAS / </v>
      </c>
      <c r="E43" s="66" t="s">
        <v>10</v>
      </c>
      <c r="F43" s="32" t="s">
        <v>464</v>
      </c>
      <c r="G43" s="39">
        <v>46149</v>
      </c>
      <c r="H43" s="39">
        <v>46150</v>
      </c>
      <c r="I43" s="32" t="s">
        <v>481</v>
      </c>
      <c r="J43" s="33"/>
      <c r="K43" s="32"/>
    </row>
    <row r="44" spans="1:11" ht="36.75" customHeight="1">
      <c r="A44" s="32" t="s">
        <v>226</v>
      </c>
      <c r="B44" s="11" t="s">
        <v>15</v>
      </c>
      <c r="C44" s="11" t="str">
        <f>A44&amp;B44</f>
        <v>A1ST1B</v>
      </c>
      <c r="D44" s="32" t="str">
        <f>VLOOKUP($C44,Asignaturas!$C$5:$D$261,2,0)</f>
        <v xml:space="preserve">PATRICIA ELBA SOTO QUIROGA / </v>
      </c>
      <c r="E44" s="66" t="s">
        <v>10</v>
      </c>
      <c r="F44" s="32" t="s">
        <v>464</v>
      </c>
      <c r="G44" s="39">
        <v>46149</v>
      </c>
      <c r="H44" s="39">
        <v>46150</v>
      </c>
      <c r="I44" s="32" t="s">
        <v>481</v>
      </c>
      <c r="J44" s="33"/>
      <c r="K44" s="32"/>
    </row>
    <row r="45" spans="1:11" ht="36.75" customHeight="1">
      <c r="A45" s="32" t="s">
        <v>414</v>
      </c>
      <c r="B45" s="11" t="s">
        <v>7</v>
      </c>
      <c r="C45" s="11" t="str">
        <f>A45&amp;B45</f>
        <v>MICR03006A</v>
      </c>
      <c r="D45" s="32" t="str">
        <f>VLOOKUP($C45,Asignaturas!$C$5:$D$261,2,0)</f>
        <v xml:space="preserve">VANIA SALAS GARCIA / </v>
      </c>
      <c r="E45" s="66" t="s">
        <v>14</v>
      </c>
      <c r="F45" s="32" t="s">
        <v>464</v>
      </c>
      <c r="G45" s="39">
        <v>46149</v>
      </c>
      <c r="H45" s="39">
        <v>46150</v>
      </c>
      <c r="I45" s="32" t="s">
        <v>481</v>
      </c>
      <c r="J45" s="33"/>
      <c r="K45" s="32"/>
    </row>
    <row r="46" spans="1:11" ht="36.75" customHeight="1">
      <c r="A46" s="32" t="s">
        <v>156</v>
      </c>
      <c r="B46" s="11" t="s">
        <v>15</v>
      </c>
      <c r="C46" s="11" t="str">
        <f>A46&amp;B46</f>
        <v>A1GP1B</v>
      </c>
      <c r="D46" s="32" t="str">
        <f>VLOOKUP($C46,Asignaturas!$C$5:$D$261,2,0)</f>
        <v xml:space="preserve">MARTHA MARINA CASAS CASAS / </v>
      </c>
      <c r="E46" s="66" t="s">
        <v>10</v>
      </c>
      <c r="F46" s="32" t="s">
        <v>464</v>
      </c>
      <c r="G46" s="39">
        <v>46149</v>
      </c>
      <c r="H46" s="39">
        <v>46150</v>
      </c>
      <c r="I46" s="32" t="s">
        <v>481</v>
      </c>
      <c r="J46" s="33"/>
      <c r="K46" s="32"/>
    </row>
    <row r="47" spans="1:11" ht="36.75" customHeight="1">
      <c r="A47" s="32" t="s">
        <v>207</v>
      </c>
      <c r="B47" s="11" t="s">
        <v>7</v>
      </c>
      <c r="C47" s="11" t="str">
        <f>A47&amp;B47</f>
        <v>A1MT2A</v>
      </c>
      <c r="D47" s="32" t="str">
        <f>VLOOKUP($C47,Asignaturas!$C$5:$D$261,2,0)</f>
        <v>JORGE LUIS MARTINEZ PEREZ</v>
      </c>
      <c r="E47" s="66" t="s">
        <v>14</v>
      </c>
      <c r="F47" s="32" t="s">
        <v>471</v>
      </c>
      <c r="G47" s="39">
        <v>46150</v>
      </c>
      <c r="H47" s="39">
        <v>46151</v>
      </c>
      <c r="I47" s="32" t="s">
        <v>481</v>
      </c>
      <c r="J47" s="33"/>
      <c r="K47" s="32"/>
    </row>
    <row r="48" spans="1:11" ht="36.75" customHeight="1">
      <c r="A48" s="32" t="s">
        <v>138</v>
      </c>
      <c r="B48" s="11" t="s">
        <v>7</v>
      </c>
      <c r="C48" s="11" t="str">
        <f>A48&amp;B48</f>
        <v>A1FZ2A</v>
      </c>
      <c r="D48" s="32" t="str">
        <f>VLOOKUP($C48,Asignaturas!$C$5:$D$261,2,0)</f>
        <v>RAFAEL ANTONIO VALERA MORENO /</v>
      </c>
      <c r="E48" s="66" t="s">
        <v>14</v>
      </c>
      <c r="F48" s="32" t="s">
        <v>464</v>
      </c>
      <c r="G48" s="39">
        <v>46150</v>
      </c>
      <c r="H48" s="39">
        <v>46151</v>
      </c>
      <c r="I48" s="32" t="s">
        <v>481</v>
      </c>
      <c r="J48" s="33"/>
      <c r="K48" s="32"/>
    </row>
    <row r="49" spans="1:11" ht="36.75" customHeight="1">
      <c r="A49" s="32" t="s">
        <v>363</v>
      </c>
      <c r="B49" s="11" t="s">
        <v>18</v>
      </c>
      <c r="C49" s="11" t="str">
        <f>A49&amp;B49</f>
        <v>LC1C</v>
      </c>
      <c r="D49" s="32" t="str">
        <f>VLOOKUP($C49,Asignaturas!$C$5:$D$261,2,0)</f>
        <v>CRISANTO PÉREZ ESAIN /</v>
      </c>
      <c r="E49" s="66" t="s">
        <v>10</v>
      </c>
      <c r="F49" s="32" t="s">
        <v>464</v>
      </c>
      <c r="G49" s="39">
        <v>46150</v>
      </c>
      <c r="H49" s="39">
        <v>46151</v>
      </c>
      <c r="I49" s="32" t="s">
        <v>481</v>
      </c>
      <c r="J49" s="33"/>
      <c r="K49" s="32"/>
    </row>
    <row r="50" spans="1:11" ht="36.75" customHeight="1">
      <c r="A50" s="32" t="s">
        <v>212</v>
      </c>
      <c r="B50" s="11" t="s">
        <v>7</v>
      </c>
      <c r="C50" s="11" t="str">
        <f>A50&amp;B50</f>
        <v>A1OP1A</v>
      </c>
      <c r="D50" s="32" t="str">
        <f>VLOOKUP($C50,Asignaturas!$C$5:$D$261,2,0)</f>
        <v xml:space="preserve">EDUARDO ALONSO SANCHEZ RUIZ / </v>
      </c>
      <c r="E50" s="66" t="s">
        <v>14</v>
      </c>
      <c r="F50" s="32" t="s">
        <v>464</v>
      </c>
      <c r="G50" s="39">
        <v>46150</v>
      </c>
      <c r="H50" s="39">
        <v>46151</v>
      </c>
      <c r="I50" s="32" t="s">
        <v>481</v>
      </c>
      <c r="J50" s="33"/>
      <c r="K50" s="32"/>
    </row>
    <row r="51" spans="1:11" ht="36.75" customHeight="1">
      <c r="A51" s="32" t="s">
        <v>341</v>
      </c>
      <c r="B51" s="11" t="s">
        <v>18</v>
      </c>
      <c r="C51" s="11" t="str">
        <f>A51&amp;B51</f>
        <v>HC1C</v>
      </c>
      <c r="D51" s="32" t="str">
        <f>VLOOKUP($C51,Asignaturas!$C$5:$D$261,2,0)</f>
        <v xml:space="preserve">ADRIANA ISABEL LAOS LEVAGGI / </v>
      </c>
      <c r="E51" s="66" t="s">
        <v>14</v>
      </c>
      <c r="F51" s="32" t="s">
        <v>471</v>
      </c>
      <c r="G51" s="39">
        <v>46150</v>
      </c>
      <c r="H51" s="39">
        <v>46153</v>
      </c>
      <c r="I51" s="32" t="s">
        <v>482</v>
      </c>
      <c r="J51" s="33"/>
      <c r="K51" s="32"/>
    </row>
    <row r="52" spans="1:11" ht="36.75" customHeight="1">
      <c r="A52" s="32"/>
      <c r="B52" s="11"/>
      <c r="C52" s="11" t="str">
        <f>A52&amp;B52</f>
        <v/>
      </c>
      <c r="D52" s="32">
        <f>VLOOKUP($C52,Asignaturas!$C$5:$D$261,2,0)</f>
        <v>0</v>
      </c>
      <c r="E52" s="32"/>
      <c r="F52" s="32"/>
      <c r="G52" s="39"/>
      <c r="H52" s="39"/>
      <c r="I52" s="32"/>
      <c r="J52" s="33"/>
      <c r="K52" s="32"/>
    </row>
    <row r="53" spans="1:11" ht="36.75" customHeight="1">
      <c r="A53" s="32"/>
      <c r="B53" s="11"/>
      <c r="C53" s="11" t="str">
        <f>A53&amp;B53</f>
        <v/>
      </c>
      <c r="D53" s="32">
        <f>VLOOKUP($C53,Asignaturas!$C$5:$D$261,2,0)</f>
        <v>0</v>
      </c>
      <c r="E53" s="32"/>
      <c r="F53" s="32"/>
      <c r="G53" s="39"/>
      <c r="H53" s="39"/>
      <c r="I53" s="32"/>
      <c r="J53" s="33"/>
      <c r="K53" s="32"/>
    </row>
    <row r="54" spans="1:11" ht="36.75" customHeight="1">
      <c r="A54" s="32"/>
      <c r="B54" s="11"/>
      <c r="C54" s="11" t="str">
        <f>A54&amp;B54</f>
        <v/>
      </c>
      <c r="D54" s="32">
        <f>VLOOKUP($C54,Asignaturas!$C$5:$D$261,2,0)</f>
        <v>0</v>
      </c>
      <c r="E54" s="32"/>
      <c r="F54" s="32"/>
      <c r="G54" s="39"/>
      <c r="H54" s="39"/>
      <c r="I54" s="32"/>
      <c r="J54" s="33"/>
      <c r="K54" s="32"/>
    </row>
    <row r="55" spans="1:11" ht="36.75" customHeight="1">
      <c r="A55" s="32"/>
      <c r="B55" s="11"/>
      <c r="C55" s="11" t="str">
        <f>A55&amp;B55</f>
        <v/>
      </c>
      <c r="D55" s="32">
        <f>VLOOKUP($C55,Asignaturas!$C$5:$D$261,2,0)</f>
        <v>0</v>
      </c>
      <c r="E55" s="32"/>
      <c r="F55" s="32"/>
      <c r="G55" s="39"/>
      <c r="H55" s="39"/>
      <c r="I55" s="32"/>
      <c r="J55" s="33"/>
      <c r="K55" s="32"/>
    </row>
    <row r="56" spans="1:11" ht="36.75" customHeight="1">
      <c r="A56" s="32"/>
      <c r="B56" s="11"/>
      <c r="C56" s="11" t="str">
        <f>A56&amp;B56</f>
        <v/>
      </c>
      <c r="D56" s="32">
        <f>VLOOKUP($C56,Asignaturas!$C$5:$D$261,2,0)</f>
        <v>0</v>
      </c>
      <c r="E56" s="32"/>
      <c r="F56" s="32"/>
      <c r="G56" s="39"/>
      <c r="H56" s="39"/>
      <c r="I56" s="32"/>
      <c r="J56" s="33"/>
      <c r="K56" s="32"/>
    </row>
    <row r="57" spans="1:11" ht="36.75" customHeight="1">
      <c r="A57" s="32"/>
      <c r="B57" s="11"/>
      <c r="C57" s="11" t="str">
        <f>A57&amp;B57</f>
        <v/>
      </c>
      <c r="D57" s="32">
        <f>VLOOKUP($C57,Asignaturas!$C$5:$D$261,2,0)</f>
        <v>0</v>
      </c>
      <c r="E57" s="32"/>
      <c r="F57" s="32"/>
      <c r="G57" s="39"/>
      <c r="H57" s="39"/>
      <c r="I57" s="32"/>
      <c r="J57" s="33"/>
      <c r="K57" s="32"/>
    </row>
    <row r="58" spans="1:11" ht="36.75" customHeight="1">
      <c r="A58" s="32"/>
      <c r="B58" s="11"/>
      <c r="C58" s="11" t="str">
        <f>A58&amp;B58</f>
        <v/>
      </c>
      <c r="D58" s="32">
        <f>VLOOKUP($C58,Asignaturas!$C$5:$D$261,2,0)</f>
        <v>0</v>
      </c>
      <c r="E58" s="32"/>
      <c r="F58" s="32"/>
      <c r="G58" s="39"/>
      <c r="H58" s="39"/>
      <c r="I58" s="32"/>
      <c r="J58" s="33"/>
      <c r="K58" s="32"/>
    </row>
    <row r="59" spans="1:11" ht="36.75" customHeight="1">
      <c r="A59" s="32"/>
      <c r="B59" s="11"/>
      <c r="C59" s="11" t="str">
        <f>A59&amp;B59</f>
        <v/>
      </c>
      <c r="D59" s="32">
        <f>VLOOKUP($C59,Asignaturas!$C$5:$D$261,2,0)</f>
        <v>0</v>
      </c>
      <c r="E59" s="32"/>
      <c r="F59" s="32"/>
      <c r="G59" s="39"/>
      <c r="H59" s="39"/>
      <c r="I59" s="32"/>
      <c r="J59" s="33"/>
      <c r="K59" s="32"/>
    </row>
    <row r="60" spans="1:11" ht="36.75" customHeight="1">
      <c r="A60" s="32"/>
      <c r="B60" s="11"/>
      <c r="C60" s="11" t="str">
        <f>A60&amp;B60</f>
        <v/>
      </c>
      <c r="D60" s="32">
        <f>VLOOKUP($C60,Asignaturas!$C$5:$D$261,2,0)</f>
        <v>0</v>
      </c>
      <c r="E60" s="32"/>
      <c r="F60" s="32"/>
      <c r="G60" s="39"/>
      <c r="H60" s="39"/>
      <c r="I60" s="32"/>
      <c r="J60" s="33"/>
      <c r="K60" s="32"/>
    </row>
    <row r="61" spans="1:11" ht="36.75" customHeight="1">
      <c r="A61" s="32"/>
      <c r="B61" s="11"/>
      <c r="C61" s="11" t="str">
        <f>A61&amp;B61</f>
        <v/>
      </c>
      <c r="D61" s="32">
        <f>VLOOKUP($C61,Asignaturas!$C$5:$D$261,2,0)</f>
        <v>0</v>
      </c>
      <c r="E61" s="32"/>
      <c r="F61" s="32"/>
      <c r="G61" s="39"/>
      <c r="H61" s="39"/>
      <c r="I61" s="32"/>
      <c r="J61" s="33"/>
      <c r="K61" s="32"/>
    </row>
    <row r="62" spans="1:11" ht="36.75" customHeight="1">
      <c r="A62" s="32"/>
      <c r="B62" s="11"/>
      <c r="C62" s="11" t="str">
        <f>A62&amp;B62</f>
        <v/>
      </c>
      <c r="D62" s="32">
        <f>VLOOKUP($C62,Asignaturas!$C$5:$D$261,2,0)</f>
        <v>0</v>
      </c>
      <c r="E62" s="32"/>
      <c r="F62" s="32"/>
      <c r="G62" s="39"/>
      <c r="H62" s="39"/>
      <c r="I62" s="32"/>
      <c r="J62" s="33"/>
      <c r="K62" s="32"/>
    </row>
    <row r="63" spans="1:11" ht="36.75" customHeight="1">
      <c r="A63" s="32"/>
      <c r="B63" s="11"/>
      <c r="C63" s="11" t="str">
        <f>A63&amp;B63</f>
        <v/>
      </c>
      <c r="D63" s="32">
        <f>VLOOKUP($C63,Asignaturas!$C$5:$D$261,2,0)</f>
        <v>0</v>
      </c>
      <c r="E63" s="32"/>
      <c r="F63" s="32"/>
      <c r="G63" s="39"/>
      <c r="H63" s="39"/>
      <c r="I63" s="32"/>
      <c r="J63" s="33"/>
      <c r="K63" s="32"/>
    </row>
    <row r="64" spans="1:11" ht="36.75" customHeight="1">
      <c r="A64" s="32"/>
      <c r="B64" s="11"/>
      <c r="C64" s="11" t="str">
        <f>A64&amp;B64</f>
        <v/>
      </c>
      <c r="D64" s="32">
        <f>VLOOKUP($C64,Asignaturas!$C$5:$D$261,2,0)</f>
        <v>0</v>
      </c>
      <c r="E64" s="32"/>
      <c r="F64" s="32"/>
      <c r="G64" s="39"/>
      <c r="H64" s="39"/>
      <c r="I64" s="32"/>
      <c r="J64" s="33"/>
      <c r="K64" s="32"/>
    </row>
    <row r="65" spans="1:11" ht="36.75" customHeight="1">
      <c r="A65" s="32"/>
      <c r="B65" s="11"/>
      <c r="C65" s="11" t="str">
        <f>A65&amp;B65</f>
        <v/>
      </c>
      <c r="D65" s="32">
        <f>VLOOKUP($C65,Asignaturas!$C$5:$D$261,2,0)</f>
        <v>0</v>
      </c>
      <c r="E65" s="32"/>
      <c r="F65" s="32"/>
      <c r="G65" s="39"/>
      <c r="H65" s="39"/>
      <c r="I65" s="32"/>
      <c r="J65" s="33"/>
      <c r="K65" s="32"/>
    </row>
    <row r="66" spans="1:11" ht="36.75" customHeight="1">
      <c r="A66" s="32"/>
      <c r="B66" s="11"/>
      <c r="C66" s="11" t="str">
        <f>A66&amp;B66</f>
        <v/>
      </c>
      <c r="D66" s="32">
        <f>VLOOKUP($C66,Asignaturas!$C$5:$D$261,2,0)</f>
        <v>0</v>
      </c>
      <c r="E66" s="32"/>
      <c r="F66" s="32"/>
      <c r="G66" s="39"/>
      <c r="H66" s="39"/>
      <c r="I66" s="32"/>
      <c r="J66" s="33"/>
      <c r="K66" s="32"/>
    </row>
    <row r="67" spans="1:11" ht="36.75" customHeight="1">
      <c r="A67" s="32"/>
      <c r="B67" s="11"/>
      <c r="C67" s="11" t="str">
        <f>A67&amp;B67</f>
        <v/>
      </c>
      <c r="D67" s="32">
        <f>VLOOKUP($C67,Asignaturas!$C$5:$D$261,2,0)</f>
        <v>0</v>
      </c>
      <c r="E67" s="32"/>
      <c r="F67" s="32"/>
      <c r="G67" s="39"/>
      <c r="H67" s="39"/>
      <c r="I67" s="32"/>
      <c r="J67" s="33"/>
      <c r="K67" s="32"/>
    </row>
    <row r="68" spans="1:11" ht="36.75" customHeight="1">
      <c r="A68" s="32"/>
      <c r="B68" s="11"/>
      <c r="C68" s="11" t="str">
        <f>A68&amp;B68</f>
        <v/>
      </c>
      <c r="D68" s="32">
        <f>VLOOKUP($C68,Asignaturas!$C$5:$D$261,2,0)</f>
        <v>0</v>
      </c>
      <c r="E68" s="32"/>
      <c r="F68" s="32"/>
      <c r="G68" s="39"/>
      <c r="H68" s="39"/>
      <c r="I68" s="32"/>
      <c r="J68" s="33"/>
      <c r="K68" s="32"/>
    </row>
    <row r="69" spans="1:11" ht="36.75" customHeight="1">
      <c r="A69" s="32"/>
      <c r="B69" s="11"/>
      <c r="C69" s="11" t="str">
        <f>A69&amp;B69</f>
        <v/>
      </c>
      <c r="D69" s="32">
        <f>VLOOKUP($C69,Asignaturas!$C$5:$D$261,2,0)</f>
        <v>0</v>
      </c>
      <c r="E69" s="32"/>
      <c r="F69" s="32"/>
      <c r="G69" s="39"/>
      <c r="H69" s="39"/>
      <c r="I69" s="32"/>
      <c r="J69" s="33"/>
      <c r="K69" s="32"/>
    </row>
    <row r="70" spans="1:11" ht="36.75" customHeight="1">
      <c r="A70" s="32"/>
      <c r="B70" s="11"/>
      <c r="C70" s="11" t="str">
        <f>A70&amp;B70</f>
        <v/>
      </c>
      <c r="D70" s="32">
        <f>VLOOKUP($C70,Asignaturas!$C$5:$D$261,2,0)</f>
        <v>0</v>
      </c>
      <c r="E70" s="32"/>
      <c r="F70" s="32"/>
      <c r="G70" s="39"/>
      <c r="H70" s="39"/>
      <c r="I70" s="32"/>
      <c r="J70" s="33"/>
      <c r="K70" s="32"/>
    </row>
    <row r="71" spans="1:11" ht="36.75" customHeight="1">
      <c r="A71" s="32"/>
      <c r="B71" s="11"/>
      <c r="C71" s="11" t="str">
        <f>A71&amp;B71</f>
        <v/>
      </c>
      <c r="D71" s="32">
        <f>VLOOKUP($C71,Asignaturas!$C$5:$D$261,2,0)</f>
        <v>0</v>
      </c>
      <c r="E71" s="42"/>
      <c r="F71" s="32"/>
      <c r="G71" s="39"/>
      <c r="H71" s="39"/>
      <c r="I71" s="32"/>
      <c r="J71" s="33"/>
      <c r="K71" s="32"/>
    </row>
    <row r="72" spans="1:11" ht="16.5">
      <c r="A72" s="32"/>
      <c r="B72" s="11"/>
      <c r="C72" s="11" t="str">
        <f>A72&amp;B72</f>
        <v/>
      </c>
      <c r="D72" s="32">
        <f>VLOOKUP($C72,Asignaturas!$C$5:$D$261,2,0)</f>
        <v>0</v>
      </c>
      <c r="E72" s="42"/>
      <c r="F72" s="32"/>
      <c r="G72" s="43"/>
      <c r="H72" s="39"/>
      <c r="I72" s="32"/>
      <c r="J72" s="33"/>
      <c r="K72" s="32"/>
    </row>
    <row r="73" spans="1:11" ht="16.5">
      <c r="A73" s="32"/>
      <c r="B73" s="11"/>
      <c r="C73" s="11" t="str">
        <f>A73&amp;B73</f>
        <v/>
      </c>
      <c r="D73" s="32">
        <f>VLOOKUP($C73,Asignaturas!$C$5:$D$261,2,0)</f>
        <v>0</v>
      </c>
      <c r="E73" s="42"/>
      <c r="F73" s="32"/>
      <c r="G73" s="43"/>
      <c r="H73" s="39"/>
      <c r="I73" s="32"/>
      <c r="J73" s="33"/>
      <c r="K73" s="32"/>
    </row>
    <row r="74" spans="1:11" ht="16.5">
      <c r="A74" s="32"/>
      <c r="B74" s="11"/>
      <c r="C74" s="11" t="str">
        <f>A74&amp;B74</f>
        <v/>
      </c>
      <c r="D74" s="32">
        <f>VLOOKUP($C74,Asignaturas!$C$5:$D$261,2,0)</f>
        <v>0</v>
      </c>
      <c r="E74" s="42"/>
      <c r="F74" s="32"/>
      <c r="G74" s="43"/>
      <c r="H74" s="39"/>
      <c r="I74" s="32"/>
      <c r="J74" s="33"/>
      <c r="K74" s="32"/>
    </row>
    <row r="75" spans="1:11" ht="16.5">
      <c r="A75" s="32"/>
      <c r="B75" s="11"/>
      <c r="C75" s="11" t="str">
        <f>A75&amp;B75</f>
        <v/>
      </c>
      <c r="D75" s="32">
        <f>VLOOKUP($C75,Asignaturas!$C$5:$D$261,2,0)</f>
        <v>0</v>
      </c>
      <c r="E75" s="32"/>
      <c r="F75" s="32"/>
      <c r="G75" s="43"/>
      <c r="H75" s="39"/>
      <c r="I75" s="32"/>
      <c r="J75" s="33"/>
      <c r="K75" s="32"/>
    </row>
    <row r="76" spans="1:11" ht="16.5">
      <c r="A76" s="32"/>
      <c r="B76" s="11"/>
      <c r="C76" s="11" t="str">
        <f>A76&amp;B76</f>
        <v/>
      </c>
      <c r="D76" s="32">
        <f>VLOOKUP($C76,Asignaturas!$C$5:$D$261,2,0)</f>
        <v>0</v>
      </c>
      <c r="E76" s="32"/>
      <c r="F76" s="32"/>
      <c r="G76" s="43"/>
      <c r="H76" s="39"/>
      <c r="I76" s="32"/>
      <c r="J76" s="33"/>
      <c r="K76" s="32"/>
    </row>
    <row r="77" spans="1:11" ht="16.5">
      <c r="A77" s="32"/>
      <c r="B77" s="11"/>
      <c r="C77" s="11" t="str">
        <f>A77&amp;B77</f>
        <v/>
      </c>
      <c r="D77" s="32">
        <f>VLOOKUP($C77,Asignaturas!$C$5:$D$261,2,0)</f>
        <v>0</v>
      </c>
      <c r="E77" s="32"/>
      <c r="F77" s="32"/>
      <c r="G77" s="43"/>
      <c r="H77" s="39"/>
      <c r="I77" s="32"/>
      <c r="J77" s="33"/>
      <c r="K77" s="32"/>
    </row>
    <row r="78" spans="1:11" ht="16.5">
      <c r="A78" s="32"/>
      <c r="B78" s="11"/>
      <c r="C78" s="11" t="str">
        <f>A78&amp;B78</f>
        <v/>
      </c>
      <c r="D78" s="32">
        <f>VLOOKUP($C78,Asignaturas!$C$5:$D$261,2,0)</f>
        <v>0</v>
      </c>
      <c r="E78" s="32"/>
      <c r="F78" s="32"/>
      <c r="G78" s="43"/>
      <c r="H78" s="39"/>
      <c r="I78" s="32"/>
      <c r="J78" s="33"/>
      <c r="K78" s="32"/>
    </row>
    <row r="79" spans="1:11" ht="16.5">
      <c r="A79" s="32"/>
      <c r="B79" s="11"/>
      <c r="C79" s="11" t="str">
        <f>A79&amp;B79</f>
        <v/>
      </c>
      <c r="D79" s="32">
        <f>VLOOKUP($C79,Asignaturas!$C$5:$D$261,2,0)</f>
        <v>0</v>
      </c>
      <c r="E79" s="32"/>
      <c r="F79" s="32"/>
      <c r="G79" s="43"/>
      <c r="H79" s="43"/>
      <c r="I79" s="32"/>
      <c r="J79" s="33"/>
      <c r="K79" s="32"/>
    </row>
    <row r="80" spans="1:11" ht="16.5">
      <c r="A80" s="32"/>
      <c r="B80" s="11"/>
      <c r="C80" s="11" t="str">
        <f>A80&amp;B80</f>
        <v/>
      </c>
      <c r="D80" s="32">
        <f>VLOOKUP($C80,Asignaturas!$C$5:$D$261,2,0)</f>
        <v>0</v>
      </c>
      <c r="E80" s="32"/>
      <c r="F80" s="32"/>
      <c r="G80" s="43"/>
      <c r="H80" s="43"/>
      <c r="I80" s="32"/>
      <c r="J80" s="33"/>
      <c r="K80" s="32"/>
    </row>
    <row r="81" spans="1:11" ht="16.5">
      <c r="A81" s="32"/>
      <c r="B81" s="11"/>
      <c r="C81" s="11" t="str">
        <f>A81&amp;B81</f>
        <v/>
      </c>
      <c r="D81" s="32">
        <f>VLOOKUP($C81,Asignaturas!$C$5:$D$261,2,0)</f>
        <v>0</v>
      </c>
      <c r="E81" s="32"/>
      <c r="F81" s="32"/>
      <c r="G81" s="43"/>
      <c r="H81" s="43"/>
      <c r="I81" s="32"/>
      <c r="J81" s="33"/>
      <c r="K81" s="32"/>
    </row>
    <row r="82" spans="1:11" ht="16.5">
      <c r="A82" s="32"/>
      <c r="B82" s="11"/>
      <c r="C82" s="11" t="str">
        <f>A82&amp;B82</f>
        <v/>
      </c>
      <c r="D82" s="32">
        <f>VLOOKUP($C82,Asignaturas!$C$5:$D$261,2,0)</f>
        <v>0</v>
      </c>
      <c r="E82" s="32"/>
      <c r="F82" s="32"/>
      <c r="G82" s="43"/>
      <c r="H82" s="43"/>
      <c r="I82" s="32"/>
      <c r="J82" s="33"/>
      <c r="K82" s="32"/>
    </row>
    <row r="83" spans="1:11" ht="16.5">
      <c r="A83" s="32"/>
      <c r="B83" s="11"/>
      <c r="C83" s="11" t="str">
        <f>A83&amp;B83</f>
        <v/>
      </c>
      <c r="D83" s="32">
        <f>VLOOKUP($C83,Asignaturas!$C$5:$D$261,2,0)</f>
        <v>0</v>
      </c>
      <c r="E83" s="32"/>
      <c r="F83" s="32"/>
      <c r="G83" s="43"/>
      <c r="H83" s="43"/>
      <c r="I83" s="32"/>
      <c r="J83" s="33"/>
      <c r="K83" s="32"/>
    </row>
    <row r="84" spans="1:11" ht="16.5">
      <c r="A84" s="32"/>
      <c r="B84" s="11"/>
      <c r="C84" s="11" t="str">
        <f>A84&amp;B84</f>
        <v/>
      </c>
      <c r="D84" s="32">
        <f>VLOOKUP($C84,Asignaturas!$C$5:$D$261,2,0)</f>
        <v>0</v>
      </c>
      <c r="E84" s="32"/>
      <c r="F84" s="32"/>
      <c r="G84" s="39"/>
      <c r="H84" s="39"/>
      <c r="I84" s="32"/>
      <c r="J84" s="33"/>
      <c r="K84" s="32"/>
    </row>
    <row r="85" spans="1:11" ht="16.5">
      <c r="A85" s="32"/>
      <c r="B85" s="11"/>
      <c r="C85" s="11" t="str">
        <f>A85&amp;B85</f>
        <v/>
      </c>
      <c r="D85" s="32">
        <f>VLOOKUP($C85,Asignaturas!$C$5:$D$261,2,0)</f>
        <v>0</v>
      </c>
      <c r="E85" s="32"/>
      <c r="F85" s="32"/>
      <c r="G85" s="39"/>
      <c r="H85" s="39"/>
      <c r="I85" s="32"/>
      <c r="J85" s="33"/>
      <c r="K85" s="32"/>
    </row>
    <row r="86" spans="1:11" ht="16.5">
      <c r="A86" s="32"/>
      <c r="B86" s="11"/>
      <c r="C86" s="11" t="str">
        <f>A86&amp;B86</f>
        <v/>
      </c>
      <c r="D86" s="32">
        <f>VLOOKUP($C86,Asignaturas!$C$5:$D$261,2,0)</f>
        <v>0</v>
      </c>
      <c r="E86" s="32"/>
      <c r="F86" s="32"/>
      <c r="G86" s="39"/>
      <c r="H86" s="39"/>
      <c r="I86" s="32"/>
      <c r="J86" s="33"/>
      <c r="K86" s="32"/>
    </row>
    <row r="87" spans="1:11" ht="16.5">
      <c r="A87" s="32"/>
      <c r="B87" s="11"/>
      <c r="C87" s="11" t="str">
        <f>A87&amp;B87</f>
        <v/>
      </c>
      <c r="D87" s="32">
        <f>VLOOKUP($C87,Asignaturas!$C$5:$D$261,2,0)</f>
        <v>0</v>
      </c>
      <c r="E87" s="32"/>
      <c r="F87" s="32"/>
      <c r="G87" s="39"/>
      <c r="H87" s="39"/>
      <c r="I87" s="32"/>
      <c r="J87" s="33"/>
      <c r="K87" s="32"/>
    </row>
    <row r="88" spans="1:11" ht="16.5">
      <c r="A88" s="32"/>
      <c r="B88" s="11"/>
      <c r="C88" s="11" t="str">
        <f>A88&amp;B88</f>
        <v/>
      </c>
      <c r="D88" s="32">
        <f>VLOOKUP($C88,Asignaturas!$C$5:$D$261,2,0)</f>
        <v>0</v>
      </c>
      <c r="E88" s="32"/>
      <c r="F88" s="32"/>
      <c r="G88" s="39"/>
      <c r="H88" s="39"/>
      <c r="I88" s="32"/>
      <c r="J88" s="33"/>
      <c r="K88" s="32"/>
    </row>
    <row r="89" spans="1:11" ht="16.5">
      <c r="A89" s="32"/>
      <c r="B89" s="11"/>
      <c r="C89" s="11" t="str">
        <f>A89&amp;B89</f>
        <v/>
      </c>
      <c r="D89" s="32">
        <f>VLOOKUP($C89,Asignaturas!$C$5:$D$261,2,0)</f>
        <v>0</v>
      </c>
      <c r="E89" s="32"/>
      <c r="F89" s="32"/>
      <c r="G89" s="39"/>
      <c r="H89" s="39"/>
      <c r="I89" s="32"/>
      <c r="J89" s="33"/>
      <c r="K89" s="32"/>
    </row>
    <row r="90" spans="1:11" ht="16.5">
      <c r="A90" s="32"/>
      <c r="B90" s="11"/>
      <c r="C90" s="11" t="str">
        <f>A90&amp;B90</f>
        <v/>
      </c>
      <c r="D90" s="32">
        <f>VLOOKUP($C90,Asignaturas!$C$5:$D$261,2,0)</f>
        <v>0</v>
      </c>
      <c r="E90" s="32"/>
      <c r="F90" s="32"/>
      <c r="G90" s="39"/>
      <c r="H90" s="39"/>
      <c r="I90" s="32"/>
      <c r="J90" s="33"/>
      <c r="K90" s="32"/>
    </row>
    <row r="91" spans="1:11" ht="16.5">
      <c r="A91" s="32"/>
      <c r="B91" s="11"/>
      <c r="C91" s="11" t="str">
        <f>A91&amp;B91</f>
        <v/>
      </c>
      <c r="D91" s="32">
        <f>VLOOKUP($C91,Asignaturas!$C$5:$D$261,2,0)</f>
        <v>0</v>
      </c>
      <c r="E91" s="32"/>
      <c r="F91" s="32"/>
      <c r="G91" s="39"/>
      <c r="H91" s="39"/>
      <c r="I91" s="32"/>
      <c r="J91" s="33"/>
      <c r="K91" s="32"/>
    </row>
    <row r="92" spans="1:11" ht="16.5">
      <c r="A92" s="32"/>
      <c r="B92" s="11"/>
      <c r="C92" s="11" t="str">
        <f>A92&amp;B92</f>
        <v/>
      </c>
      <c r="D92" s="32">
        <f>VLOOKUP($C92,Asignaturas!$C$5:$D$261,2,0)</f>
        <v>0</v>
      </c>
      <c r="E92" s="32"/>
      <c r="F92" s="32"/>
      <c r="G92" s="39"/>
      <c r="H92" s="39"/>
      <c r="I92" s="32"/>
      <c r="J92" s="33"/>
      <c r="K92" s="32"/>
    </row>
    <row r="93" spans="1:11" ht="16.5">
      <c r="A93" s="32"/>
      <c r="B93" s="11"/>
      <c r="C93" s="11" t="str">
        <f>A93&amp;B93</f>
        <v/>
      </c>
      <c r="D93" s="32">
        <f>VLOOKUP($C93,Asignaturas!$C$5:$D$261,2,0)</f>
        <v>0</v>
      </c>
      <c r="E93" s="32"/>
      <c r="F93" s="32"/>
      <c r="G93" s="39"/>
      <c r="H93" s="39"/>
      <c r="I93" s="32"/>
      <c r="J93" s="33"/>
      <c r="K93" s="32"/>
    </row>
    <row r="94" spans="1:11" ht="16.5">
      <c r="A94" s="32"/>
      <c r="B94" s="11"/>
      <c r="C94" s="11" t="str">
        <f>A94&amp;B94</f>
        <v/>
      </c>
      <c r="D94" s="32">
        <f>VLOOKUP($C94,Asignaturas!$C$5:$D$261,2,0)</f>
        <v>0</v>
      </c>
      <c r="E94" s="32"/>
      <c r="F94" s="32"/>
      <c r="G94" s="39"/>
      <c r="H94" s="39"/>
      <c r="I94" s="32"/>
      <c r="J94" s="33"/>
      <c r="K94" s="32"/>
    </row>
    <row r="95" spans="1:11" ht="16.5">
      <c r="A95" s="32"/>
      <c r="B95" s="11"/>
      <c r="C95" s="11" t="str">
        <f>A95&amp;B95</f>
        <v/>
      </c>
      <c r="D95" s="32">
        <f>VLOOKUP($C95,Asignaturas!$C$5:$D$261,2,0)</f>
        <v>0</v>
      </c>
      <c r="E95" s="32"/>
      <c r="F95" s="32"/>
      <c r="G95" s="39"/>
      <c r="H95" s="39"/>
      <c r="I95" s="32"/>
      <c r="J95" s="33"/>
      <c r="K95" s="32"/>
    </row>
    <row r="96" spans="1:11" ht="16.5">
      <c r="A96" s="32"/>
      <c r="B96" s="11"/>
      <c r="C96" s="11" t="str">
        <f>A96&amp;B96</f>
        <v/>
      </c>
      <c r="D96" s="32">
        <f>VLOOKUP($C96,Asignaturas!$C$5:$D$261,2,0)</f>
        <v>0</v>
      </c>
      <c r="E96" s="32"/>
      <c r="F96" s="32"/>
      <c r="G96" s="39"/>
      <c r="H96" s="39"/>
      <c r="I96" s="32"/>
      <c r="J96" s="33"/>
      <c r="K96" s="32"/>
    </row>
    <row r="97" spans="1:11" ht="16.5">
      <c r="A97" s="32"/>
      <c r="B97" s="11"/>
      <c r="C97" s="11" t="str">
        <f>A97&amp;B97</f>
        <v/>
      </c>
      <c r="D97" s="32">
        <f>VLOOKUP($C97,Asignaturas!$C$5:$D$261,2,0)</f>
        <v>0</v>
      </c>
      <c r="E97" s="32"/>
      <c r="F97" s="32"/>
      <c r="G97" s="39"/>
      <c r="H97" s="39"/>
      <c r="I97" s="32"/>
      <c r="J97" s="33"/>
      <c r="K97" s="32"/>
    </row>
    <row r="98" spans="1:11" ht="16.5">
      <c r="A98" s="32"/>
      <c r="B98" s="11"/>
      <c r="C98" s="11" t="str">
        <f>A98&amp;B98</f>
        <v/>
      </c>
      <c r="D98" s="32">
        <f>VLOOKUP($C98,Asignaturas!$C$5:$D$261,2,0)</f>
        <v>0</v>
      </c>
      <c r="E98" s="32"/>
      <c r="F98" s="32"/>
      <c r="G98" s="39"/>
      <c r="H98" s="39"/>
      <c r="I98" s="32"/>
      <c r="J98" s="33"/>
      <c r="K98" s="32"/>
    </row>
    <row r="99" spans="1:11" ht="16.5">
      <c r="A99" s="32"/>
      <c r="B99" s="11"/>
      <c r="C99" s="11" t="str">
        <f>A99&amp;B99</f>
        <v/>
      </c>
      <c r="D99" s="32">
        <f>VLOOKUP($C99,Asignaturas!$C$5:$D$261,2,0)</f>
        <v>0</v>
      </c>
      <c r="E99" s="32"/>
      <c r="F99" s="32"/>
      <c r="G99" s="39"/>
      <c r="H99" s="39"/>
      <c r="I99" s="32"/>
      <c r="J99" s="33"/>
      <c r="K99" s="32"/>
    </row>
    <row r="100" spans="1:11" ht="16.5">
      <c r="A100" s="32"/>
      <c r="B100" s="11"/>
      <c r="C100" s="11" t="str">
        <f>A100&amp;B100</f>
        <v/>
      </c>
      <c r="D100" s="32">
        <f>VLOOKUP($C100,Asignaturas!$C$5:$D$261,2,0)</f>
        <v>0</v>
      </c>
      <c r="E100" s="32"/>
      <c r="F100" s="32"/>
      <c r="G100" s="39"/>
      <c r="H100" s="39"/>
      <c r="I100" s="32"/>
      <c r="J100" s="33"/>
      <c r="K100" s="32"/>
    </row>
    <row r="101" spans="1:11" ht="16.5">
      <c r="A101" s="32"/>
      <c r="B101" s="11"/>
      <c r="C101" s="11" t="str">
        <f>A101&amp;B101</f>
        <v/>
      </c>
      <c r="D101" s="32">
        <f>VLOOKUP($C101,Asignaturas!$C$5:$D$261,2,0)</f>
        <v>0</v>
      </c>
      <c r="E101" s="91"/>
      <c r="F101" s="91"/>
      <c r="G101" s="92"/>
      <c r="H101" s="92"/>
      <c r="I101" s="91"/>
      <c r="J101" s="33"/>
      <c r="K101" s="32"/>
    </row>
    <row r="102" spans="1:11" ht="16.5">
      <c r="A102" s="32"/>
      <c r="B102" s="11"/>
      <c r="C102" s="11" t="str">
        <f>A102&amp;B102</f>
        <v/>
      </c>
      <c r="D102" s="32">
        <f>VLOOKUP($C102,Asignaturas!$C$5:$D$261,2,0)</f>
        <v>0</v>
      </c>
      <c r="E102" s="91"/>
      <c r="F102" s="91"/>
      <c r="G102" s="92"/>
      <c r="H102" s="92"/>
      <c r="I102" s="91"/>
      <c r="J102" s="33"/>
      <c r="K102" s="32"/>
    </row>
    <row r="103" spans="1:11" ht="16.5">
      <c r="A103" s="32"/>
      <c r="B103" s="11"/>
      <c r="C103" s="11" t="str">
        <f>A103&amp;B103</f>
        <v/>
      </c>
      <c r="D103" s="32">
        <f>VLOOKUP($C103,Asignaturas!$C$5:$D$261,2,0)</f>
        <v>0</v>
      </c>
      <c r="E103" s="93"/>
      <c r="F103" s="93"/>
      <c r="G103" s="94"/>
      <c r="H103" s="94"/>
      <c r="I103" s="93"/>
      <c r="J103" s="33"/>
      <c r="K103" s="32"/>
    </row>
    <row r="104" spans="1:11" ht="16.5">
      <c r="A104" s="32"/>
      <c r="B104" s="11"/>
      <c r="C104" s="11" t="str">
        <f>A104&amp;B104</f>
        <v/>
      </c>
      <c r="D104" s="32">
        <f>VLOOKUP($C104,Asignaturas!$C$5:$D$261,2,0)</f>
        <v>0</v>
      </c>
      <c r="E104" s="42"/>
      <c r="F104" s="32"/>
      <c r="G104" s="43"/>
      <c r="H104" s="43"/>
      <c r="I104" s="32"/>
      <c r="J104" s="33"/>
      <c r="K104" s="32"/>
    </row>
    <row r="105" spans="1:11" ht="16.5">
      <c r="A105" s="32"/>
      <c r="B105" s="11"/>
      <c r="C105" s="11" t="str">
        <f>A105&amp;B105</f>
        <v/>
      </c>
      <c r="D105" s="32">
        <f>VLOOKUP($C105,Asignaturas!$C$5:$D$261,2,0)</f>
        <v>0</v>
      </c>
      <c r="E105" s="42"/>
      <c r="F105" s="32"/>
      <c r="G105" s="43"/>
      <c r="H105" s="43"/>
      <c r="I105" s="32"/>
      <c r="J105" s="33"/>
      <c r="K105" s="32"/>
    </row>
    <row r="106" spans="1:11" ht="16.5">
      <c r="A106" s="32"/>
      <c r="B106" s="11"/>
      <c r="C106" s="11" t="str">
        <f>A106&amp;B106</f>
        <v/>
      </c>
      <c r="D106" s="32">
        <f>VLOOKUP($C106,Asignaturas!$C$5:$D$261,2,0)</f>
        <v>0</v>
      </c>
      <c r="E106" s="42"/>
      <c r="F106" s="32"/>
      <c r="G106" s="43"/>
      <c r="H106" s="43"/>
      <c r="I106" s="32"/>
      <c r="J106" s="33"/>
      <c r="K106" s="32"/>
    </row>
    <row r="107" spans="1:11" ht="16.5">
      <c r="A107" s="32"/>
      <c r="B107" s="11"/>
      <c r="C107" s="11" t="str">
        <f>A107&amp;B107</f>
        <v/>
      </c>
      <c r="D107" s="32">
        <f>VLOOKUP($C107,Asignaturas!$C$5:$D$261,2,0)</f>
        <v>0</v>
      </c>
      <c r="E107" s="42"/>
      <c r="F107" s="32"/>
      <c r="G107" s="43"/>
      <c r="H107" s="43"/>
      <c r="I107" s="32"/>
      <c r="J107" s="33"/>
      <c r="K107" s="32"/>
    </row>
    <row r="108" spans="1:11" ht="19.5" customHeight="1">
      <c r="A108" s="33"/>
      <c r="B108" s="11"/>
      <c r="C108" s="11" t="str">
        <f>A108&amp;B108</f>
        <v/>
      </c>
      <c r="D108" s="32">
        <f>VLOOKUP($C108,Asignaturas!$C$5:$D$261,2,0)</f>
        <v>0</v>
      </c>
      <c r="E108" s="42"/>
      <c r="F108" s="32"/>
      <c r="G108" s="43"/>
      <c r="H108" s="43"/>
      <c r="I108" s="32"/>
      <c r="J108" s="33"/>
      <c r="K108" s="32"/>
    </row>
    <row r="109" spans="1:11" ht="16.5">
      <c r="A109" s="32"/>
      <c r="B109" s="11"/>
      <c r="C109" s="11" t="str">
        <f>A109&amp;B109</f>
        <v/>
      </c>
      <c r="D109" s="32">
        <f>VLOOKUP($C109,Asignaturas!$C$5:$D$261,2,0)</f>
        <v>0</v>
      </c>
      <c r="E109" s="42"/>
      <c r="F109" s="32"/>
      <c r="G109" s="43"/>
      <c r="H109" s="43"/>
      <c r="I109" s="32"/>
      <c r="J109" s="33"/>
      <c r="K109" s="32"/>
    </row>
    <row r="110" spans="1:11" ht="16.5">
      <c r="A110" s="32"/>
      <c r="B110" s="11"/>
      <c r="C110" s="11" t="str">
        <f>A110&amp;B110</f>
        <v/>
      </c>
      <c r="D110" s="32">
        <f>VLOOKUP($C110,Asignaturas!$C$5:$D$261,2,0)</f>
        <v>0</v>
      </c>
      <c r="E110" s="32"/>
      <c r="F110" s="32"/>
      <c r="G110" s="39"/>
      <c r="H110" s="39"/>
      <c r="I110" s="32"/>
      <c r="J110" s="33"/>
      <c r="K110" s="32"/>
    </row>
    <row r="111" spans="1:11" ht="16.5">
      <c r="A111" s="32"/>
      <c r="B111" s="11"/>
      <c r="C111" s="11" t="str">
        <f>A111&amp;B111</f>
        <v/>
      </c>
      <c r="D111" s="32">
        <f>VLOOKUP($C111,Asignaturas!$C$5:$D$261,2,0)</f>
        <v>0</v>
      </c>
      <c r="E111" s="32"/>
      <c r="F111" s="32"/>
      <c r="G111" s="39"/>
      <c r="H111" s="39"/>
      <c r="I111" s="32"/>
      <c r="J111" s="33"/>
      <c r="K111" s="32"/>
    </row>
    <row r="112" spans="1:11" ht="16.5">
      <c r="A112" s="32"/>
      <c r="B112" s="11"/>
      <c r="C112" s="11" t="str">
        <f>A112&amp;B112</f>
        <v/>
      </c>
      <c r="D112" s="32">
        <f>VLOOKUP($C112,Asignaturas!$C$5:$D$261,2,0)</f>
        <v>0</v>
      </c>
      <c r="E112" s="32"/>
      <c r="F112" s="32"/>
      <c r="G112" s="39"/>
      <c r="H112" s="39"/>
      <c r="I112" s="32"/>
      <c r="J112" s="33"/>
      <c r="K112" s="32"/>
    </row>
    <row r="113" spans="1:11" ht="16.5">
      <c r="A113" s="32"/>
      <c r="B113" s="11"/>
      <c r="C113" s="11" t="str">
        <f t="shared" ref="C113:C114" si="3">A113&amp;B113</f>
        <v/>
      </c>
      <c r="D113" s="32">
        <f>VLOOKUP($C113,Asignaturas!$C$5:$D$261,2,0)</f>
        <v>0</v>
      </c>
      <c r="E113" s="32"/>
      <c r="F113" s="32"/>
      <c r="G113" s="39"/>
      <c r="H113" s="39"/>
      <c r="I113" s="32"/>
      <c r="J113" s="33"/>
      <c r="K113" s="32"/>
    </row>
    <row r="114" spans="1:11" ht="16.5">
      <c r="A114" s="32"/>
      <c r="B114" s="11"/>
      <c r="C114" s="11" t="str">
        <f t="shared" si="3"/>
        <v/>
      </c>
      <c r="D114" s="32">
        <f>VLOOKUP($C114,Asignaturas!$C$5:$D$261,2,0)</f>
        <v>0</v>
      </c>
      <c r="E114" s="32"/>
      <c r="F114" s="32"/>
      <c r="G114" s="39"/>
      <c r="H114" s="39"/>
      <c r="I114" s="32"/>
      <c r="J114" s="33"/>
      <c r="K114" s="32"/>
    </row>
    <row r="115" spans="1:11" ht="16.5">
      <c r="A115" s="32"/>
      <c r="B115" s="11"/>
      <c r="C115" s="11" t="str">
        <f t="shared" ref="C115:C116" si="4">A115&amp;B115</f>
        <v/>
      </c>
      <c r="D115" s="32">
        <f>VLOOKUP($C115,Asignaturas!$C$5:$D$261,2,0)</f>
        <v>0</v>
      </c>
      <c r="E115" s="32"/>
      <c r="F115" s="32"/>
      <c r="G115" s="39"/>
      <c r="H115" s="39"/>
      <c r="I115" s="32"/>
      <c r="J115" s="33"/>
      <c r="K115" s="32"/>
    </row>
    <row r="116" spans="1:11" ht="16.5">
      <c r="A116" s="32"/>
      <c r="B116" s="11"/>
      <c r="C116" s="11" t="str">
        <f t="shared" si="4"/>
        <v/>
      </c>
      <c r="D116" s="32">
        <f>VLOOKUP($C116,Asignaturas!$C$5:$D$261,2,0)</f>
        <v>0</v>
      </c>
      <c r="E116" s="32"/>
      <c r="F116" s="32"/>
      <c r="G116" s="39"/>
      <c r="H116" s="39"/>
      <c r="I116" s="32"/>
      <c r="J116" s="33"/>
      <c r="K116" s="32"/>
    </row>
    <row r="117" spans="1:11" ht="16.5">
      <c r="A117" s="32"/>
      <c r="B117" s="11"/>
      <c r="C117" s="11" t="str">
        <f>A117&amp;B117</f>
        <v/>
      </c>
      <c r="D117" s="32">
        <f>VLOOKUP($C117,Asignaturas!$C$5:$D$261,2,0)</f>
        <v>0</v>
      </c>
      <c r="E117" s="32"/>
      <c r="F117" s="93"/>
      <c r="G117" s="94"/>
      <c r="H117" s="94"/>
      <c r="I117" s="93"/>
      <c r="J117" s="33"/>
      <c r="K117" s="32"/>
    </row>
    <row r="118" spans="1:11" ht="16.5">
      <c r="A118" s="32"/>
      <c r="B118" s="11"/>
      <c r="C118" s="11" t="str">
        <f>A118&amp;B118</f>
        <v/>
      </c>
      <c r="D118" s="32">
        <f>VLOOKUP($C118,Asignaturas!$C$5:$D$261,2,0)</f>
        <v>0</v>
      </c>
      <c r="E118" s="32"/>
      <c r="F118" s="93"/>
      <c r="G118" s="94"/>
      <c r="H118" s="94"/>
      <c r="I118" s="93"/>
      <c r="J118" s="33"/>
      <c r="K118" s="32"/>
    </row>
    <row r="119" spans="1:11" ht="16.5">
      <c r="A119" s="32"/>
      <c r="B119" s="11"/>
      <c r="C119" s="11" t="str">
        <f>A119&amp;B119</f>
        <v/>
      </c>
      <c r="D119" s="32">
        <f>VLOOKUP($C119,Asignaturas!$C$5:$D$261,2,0)</f>
        <v>0</v>
      </c>
      <c r="E119" s="32"/>
      <c r="F119" s="93"/>
      <c r="G119" s="94"/>
      <c r="H119" s="94"/>
      <c r="I119" s="93"/>
      <c r="J119" s="33"/>
      <c r="K119" s="32"/>
    </row>
    <row r="120" spans="1:11" ht="16.5">
      <c r="A120" s="32"/>
      <c r="B120" s="11"/>
      <c r="C120" s="11" t="str">
        <f>A120&amp;B120</f>
        <v/>
      </c>
      <c r="D120" s="32">
        <f>VLOOKUP($C120,Asignaturas!$C$5:$D$261,2,0)</f>
        <v>0</v>
      </c>
      <c r="E120" s="32"/>
      <c r="F120" s="93"/>
      <c r="G120" s="94"/>
      <c r="H120" s="94"/>
      <c r="I120" s="93"/>
      <c r="J120" s="33"/>
      <c r="K120" s="32"/>
    </row>
    <row r="121" spans="1:11" ht="16.5">
      <c r="A121" s="32"/>
      <c r="B121" s="11"/>
      <c r="C121" s="11" t="str">
        <f>A121&amp;B121</f>
        <v/>
      </c>
      <c r="D121" s="32">
        <f>VLOOKUP($C121,Asignaturas!$C$5:$D$261,2,0)</f>
        <v>0</v>
      </c>
      <c r="E121" s="32"/>
      <c r="F121" s="32"/>
      <c r="G121" s="94"/>
      <c r="H121" s="94"/>
      <c r="I121" s="93"/>
      <c r="J121" s="33"/>
      <c r="K121" s="32"/>
    </row>
    <row r="122" spans="1:11" ht="16.5">
      <c r="A122" s="32"/>
      <c r="B122" s="11"/>
      <c r="C122" s="11" t="str">
        <f>A122&amp;B122</f>
        <v/>
      </c>
      <c r="D122" s="32">
        <f>VLOOKUP($C122,Asignaturas!$C$5:$D$261,2,0)</f>
        <v>0</v>
      </c>
      <c r="E122" s="32"/>
      <c r="F122" s="32"/>
      <c r="G122" s="94"/>
      <c r="H122" s="94"/>
      <c r="I122" s="93"/>
      <c r="J122" s="33"/>
      <c r="K122" s="32"/>
    </row>
    <row r="123" spans="1:11" ht="16.5">
      <c r="A123" s="32"/>
      <c r="B123" s="11"/>
      <c r="C123" s="11" t="str">
        <f>A123&amp;B123</f>
        <v/>
      </c>
      <c r="D123" s="32">
        <f>VLOOKUP($C123,Asignaturas!$C$5:$D$261,2,0)</f>
        <v>0</v>
      </c>
      <c r="E123" s="32"/>
      <c r="F123" s="32"/>
      <c r="G123" s="39"/>
      <c r="H123" s="39"/>
      <c r="I123" s="32"/>
      <c r="J123" s="33"/>
      <c r="K123" s="32"/>
    </row>
    <row r="124" spans="1:11" ht="16.5">
      <c r="A124" s="32"/>
      <c r="B124" s="11"/>
      <c r="C124" s="11" t="str">
        <f>A124&amp;B124</f>
        <v/>
      </c>
      <c r="D124" s="32">
        <f>VLOOKUP($C124,Asignaturas!$C$5:$D$261,2,0)</f>
        <v>0</v>
      </c>
      <c r="E124" s="32"/>
      <c r="F124" s="32"/>
      <c r="G124" s="39"/>
      <c r="H124" s="39"/>
      <c r="I124" s="32"/>
      <c r="J124" s="33"/>
      <c r="K124" s="32"/>
    </row>
    <row r="125" spans="1:11" ht="16.5">
      <c r="A125" s="32"/>
      <c r="B125" s="11"/>
      <c r="C125" s="11" t="str">
        <f>A125&amp;B125</f>
        <v/>
      </c>
      <c r="D125" s="32">
        <f>VLOOKUP($C125,Asignaturas!$C$5:$D$261,2,0)</f>
        <v>0</v>
      </c>
      <c r="E125" s="32"/>
      <c r="F125" s="32"/>
      <c r="G125" s="39"/>
      <c r="H125" s="39"/>
      <c r="I125" s="32"/>
      <c r="J125" s="33"/>
      <c r="K125" s="32"/>
    </row>
    <row r="126" spans="1:11" ht="16.5">
      <c r="A126" s="32"/>
      <c r="B126" s="11"/>
      <c r="C126" s="11" t="str">
        <f>A126&amp;B126</f>
        <v/>
      </c>
      <c r="D126" s="32">
        <f>VLOOKUP($C126,Asignaturas!$C$5:$D$261,2,0)</f>
        <v>0</v>
      </c>
      <c r="E126" s="32"/>
      <c r="F126" s="32"/>
      <c r="G126" s="39"/>
      <c r="H126" s="39"/>
      <c r="I126" s="32"/>
      <c r="J126" s="33"/>
      <c r="K126" s="32"/>
    </row>
    <row r="127" spans="1:11" ht="16.5">
      <c r="A127" s="32"/>
      <c r="B127" s="11"/>
      <c r="C127" s="11" t="str">
        <f>A127&amp;B127</f>
        <v/>
      </c>
      <c r="D127" s="32">
        <f>VLOOKUP($C127,Asignaturas!$C$5:$D$261,2,0)</f>
        <v>0</v>
      </c>
      <c r="E127" s="32"/>
      <c r="F127" s="32"/>
      <c r="G127" s="39"/>
      <c r="H127" s="39"/>
      <c r="I127" s="32"/>
      <c r="J127" s="33"/>
      <c r="K127" s="32"/>
    </row>
    <row r="128" spans="1:11" ht="16.5">
      <c r="A128" s="32"/>
      <c r="B128" s="11"/>
      <c r="C128" s="11" t="str">
        <f>A128&amp;B128</f>
        <v/>
      </c>
      <c r="D128" s="32">
        <f>VLOOKUP($C128,Asignaturas!$C$5:$D$261,2,0)</f>
        <v>0</v>
      </c>
      <c r="E128" s="32"/>
      <c r="F128" s="32"/>
      <c r="G128" s="39"/>
      <c r="H128" s="39"/>
      <c r="I128" s="32"/>
      <c r="J128" s="33"/>
      <c r="K128" s="32"/>
    </row>
    <row r="129" spans="1:11" ht="16.5">
      <c r="A129" s="32"/>
      <c r="B129" s="11"/>
      <c r="C129" s="11" t="str">
        <f>A129&amp;B129</f>
        <v/>
      </c>
      <c r="D129" s="32">
        <f>VLOOKUP($C129,Asignaturas!$C$5:$D$261,2,0)</f>
        <v>0</v>
      </c>
      <c r="E129" s="32"/>
      <c r="F129" s="32"/>
      <c r="G129" s="39"/>
      <c r="H129" s="39"/>
      <c r="I129" s="32"/>
      <c r="J129" s="33"/>
      <c r="K129" s="32"/>
    </row>
    <row r="130" spans="1:11" ht="16.5">
      <c r="A130" s="32"/>
      <c r="B130" s="11"/>
      <c r="C130" s="11" t="str">
        <f>A130&amp;B130</f>
        <v/>
      </c>
      <c r="D130" s="32">
        <f>VLOOKUP($C130,Asignaturas!$C$5:$D$261,2,0)</f>
        <v>0</v>
      </c>
      <c r="E130" s="32"/>
      <c r="F130" s="32"/>
      <c r="G130" s="39"/>
      <c r="H130" s="39"/>
      <c r="I130" s="32"/>
      <c r="J130" s="33"/>
      <c r="K130" s="32"/>
    </row>
    <row r="131" spans="1:11" ht="16.5">
      <c r="A131" s="32"/>
      <c r="B131" s="11"/>
      <c r="C131" s="11" t="str">
        <f>A131&amp;B131</f>
        <v/>
      </c>
      <c r="D131" s="32">
        <f>VLOOKUP($C131,Asignaturas!$C$5:$D$261,2,0)</f>
        <v>0</v>
      </c>
      <c r="E131" s="32"/>
      <c r="F131" s="32"/>
      <c r="G131" s="39"/>
      <c r="H131" s="39"/>
      <c r="I131" s="32"/>
      <c r="J131" s="33"/>
      <c r="K131" s="32"/>
    </row>
    <row r="132" spans="1:11" ht="16.5">
      <c r="A132" s="32"/>
      <c r="B132" s="11"/>
      <c r="C132" s="11" t="str">
        <f>A132&amp;B132</f>
        <v/>
      </c>
      <c r="D132" s="32">
        <f>VLOOKUP($C132,Asignaturas!$C$5:$D$261,2,0)</f>
        <v>0</v>
      </c>
      <c r="E132" s="32"/>
      <c r="F132" s="32"/>
      <c r="G132" s="39"/>
      <c r="H132" s="39"/>
      <c r="I132" s="32"/>
      <c r="J132" s="33"/>
      <c r="K132" s="32"/>
    </row>
    <row r="133" spans="1:11" ht="16.5">
      <c r="A133" s="32"/>
      <c r="B133" s="11"/>
      <c r="C133" s="11" t="str">
        <f>A133&amp;B133</f>
        <v/>
      </c>
      <c r="D133" s="32">
        <f>VLOOKUP($C133,Asignaturas!$C$5:$D$261,2,0)</f>
        <v>0</v>
      </c>
      <c r="E133" s="32"/>
      <c r="F133" s="32"/>
      <c r="G133" s="39"/>
      <c r="H133" s="39"/>
      <c r="I133" s="32"/>
      <c r="J133" s="33"/>
      <c r="K133" s="32"/>
    </row>
    <row r="134" spans="1:11" ht="16.5">
      <c r="A134" s="32"/>
      <c r="B134" s="11"/>
      <c r="C134" s="11" t="str">
        <f>A134&amp;B134</f>
        <v/>
      </c>
      <c r="D134" s="32">
        <f>VLOOKUP($C134,Asignaturas!$C$5:$D$261,2,0)</f>
        <v>0</v>
      </c>
      <c r="E134" s="32"/>
      <c r="F134" s="32"/>
      <c r="G134" s="39"/>
      <c r="H134" s="39"/>
      <c r="I134" s="32"/>
      <c r="J134" s="33"/>
      <c r="K134" s="32"/>
    </row>
    <row r="135" spans="1:11" ht="16.5">
      <c r="A135" s="32"/>
      <c r="B135" s="11"/>
      <c r="C135" s="11" t="str">
        <f>A135&amp;B135</f>
        <v/>
      </c>
      <c r="D135" s="32">
        <f>VLOOKUP($C135,Asignaturas!$C$5:$D$261,2,0)</f>
        <v>0</v>
      </c>
      <c r="E135" s="32"/>
      <c r="F135" s="32"/>
      <c r="G135" s="39"/>
      <c r="H135" s="39"/>
      <c r="I135" s="32"/>
      <c r="J135" s="33"/>
      <c r="K135" s="32"/>
    </row>
    <row r="136" spans="1:11" ht="16.5">
      <c r="A136" s="32"/>
      <c r="B136" s="11"/>
      <c r="C136" s="11" t="str">
        <f>A136&amp;B136</f>
        <v/>
      </c>
      <c r="D136" s="32">
        <f>VLOOKUP($C136,Asignaturas!$C$5:$D$261,2,0)</f>
        <v>0</v>
      </c>
      <c r="E136" s="32"/>
      <c r="F136" s="32"/>
      <c r="G136" s="39"/>
      <c r="H136" s="39"/>
      <c r="I136" s="32"/>
      <c r="J136" s="33"/>
      <c r="K136" s="32"/>
    </row>
    <row r="137" spans="1:11" ht="16.5">
      <c r="A137" s="32"/>
      <c r="B137" s="11"/>
      <c r="C137" s="11" t="str">
        <f>A137&amp;B137</f>
        <v/>
      </c>
      <c r="D137" s="32">
        <f>VLOOKUP($C137,Asignaturas!$C$5:$D$261,2,0)</f>
        <v>0</v>
      </c>
      <c r="E137" s="32"/>
      <c r="F137" s="32"/>
      <c r="G137" s="39"/>
      <c r="H137" s="39"/>
      <c r="I137" s="32"/>
      <c r="J137" s="33"/>
      <c r="K137" s="32"/>
    </row>
    <row r="138" spans="1:11" ht="16.5">
      <c r="A138" s="32"/>
      <c r="B138" s="11"/>
      <c r="C138" s="11" t="str">
        <f>A138&amp;B138</f>
        <v/>
      </c>
      <c r="D138" s="32">
        <f>VLOOKUP($C138,Asignaturas!$C$5:$D$261,2,0)</f>
        <v>0</v>
      </c>
      <c r="E138" s="32"/>
      <c r="F138" s="32"/>
      <c r="G138" s="39"/>
      <c r="H138" s="39"/>
      <c r="I138" s="32"/>
      <c r="J138" s="33"/>
      <c r="K138" s="32"/>
    </row>
    <row r="139" spans="1:11" ht="16.5">
      <c r="A139" s="32"/>
      <c r="B139" s="11"/>
      <c r="C139" s="11" t="str">
        <f>A139&amp;B139</f>
        <v/>
      </c>
      <c r="D139" s="32">
        <f>VLOOKUP($C139,Asignaturas!$C$5:$D$261,2,0)</f>
        <v>0</v>
      </c>
      <c r="E139" s="32"/>
      <c r="F139" s="32"/>
      <c r="G139" s="39"/>
      <c r="H139" s="39"/>
      <c r="I139" s="32"/>
      <c r="J139" s="33"/>
      <c r="K139" s="32"/>
    </row>
    <row r="140" spans="1:11" ht="16.5">
      <c r="A140" s="32"/>
      <c r="B140" s="11"/>
      <c r="C140" s="11" t="str">
        <f>A140&amp;B140</f>
        <v/>
      </c>
      <c r="D140" s="32">
        <f>VLOOKUP($C140,Asignaturas!$C$5:$D$261,2,0)</f>
        <v>0</v>
      </c>
      <c r="E140" s="32"/>
      <c r="F140" s="32"/>
      <c r="G140" s="39"/>
      <c r="H140" s="39"/>
      <c r="I140" s="32"/>
      <c r="J140" s="33"/>
      <c r="K140" s="32"/>
    </row>
    <row r="141" spans="1:11" ht="16.5">
      <c r="A141" s="32"/>
      <c r="B141" s="11"/>
      <c r="C141" s="11" t="str">
        <f>A141&amp;B141</f>
        <v/>
      </c>
      <c r="D141" s="32">
        <f>VLOOKUP($C141,Asignaturas!$C$5:$D$261,2,0)</f>
        <v>0</v>
      </c>
      <c r="E141" s="32"/>
      <c r="F141" s="32"/>
      <c r="G141" s="39"/>
      <c r="H141" s="39"/>
      <c r="I141" s="32"/>
      <c r="J141" s="33"/>
      <c r="K141" s="32"/>
    </row>
    <row r="142" spans="1:11" ht="16.5">
      <c r="A142" s="32"/>
      <c r="B142" s="11"/>
      <c r="C142" s="11" t="str">
        <f>A142&amp;B142</f>
        <v/>
      </c>
      <c r="D142" s="32">
        <f>VLOOKUP($C142,Asignaturas!$C$5:$D$261,2,0)</f>
        <v>0</v>
      </c>
      <c r="E142" s="32"/>
      <c r="F142" s="32"/>
      <c r="G142" s="39"/>
      <c r="H142" s="39"/>
      <c r="I142" s="32"/>
      <c r="J142" s="33"/>
      <c r="K142" s="32"/>
    </row>
    <row r="143" spans="1:11" ht="16.5">
      <c r="A143" s="32"/>
      <c r="B143" s="11"/>
      <c r="C143" s="11" t="str">
        <f>A143&amp;B143</f>
        <v/>
      </c>
      <c r="D143" s="32">
        <f>VLOOKUP($C143,Asignaturas!$C$5:$D$261,2,0)</f>
        <v>0</v>
      </c>
      <c r="E143" s="32"/>
      <c r="F143" s="32"/>
      <c r="G143" s="39"/>
      <c r="H143" s="39"/>
      <c r="I143" s="32"/>
      <c r="J143" s="33"/>
      <c r="K143" s="32"/>
    </row>
    <row r="144" spans="1:11" ht="16.5">
      <c r="A144" s="32"/>
      <c r="B144" s="11"/>
      <c r="C144" s="11" t="str">
        <f>A144&amp;B144</f>
        <v/>
      </c>
      <c r="D144" s="32">
        <f>VLOOKUP($C144,Asignaturas!$C$5:$D$261,2,0)</f>
        <v>0</v>
      </c>
      <c r="E144" s="32"/>
      <c r="F144" s="32"/>
      <c r="G144" s="39"/>
      <c r="H144" s="39"/>
      <c r="I144" s="32"/>
      <c r="J144" s="33"/>
      <c r="K144" s="32"/>
    </row>
    <row r="145" spans="1:11" ht="16.5">
      <c r="A145" s="32"/>
      <c r="B145" s="11"/>
      <c r="C145" s="11" t="str">
        <f>A145&amp;B145</f>
        <v/>
      </c>
      <c r="D145" s="32">
        <f>VLOOKUP($C145,Asignaturas!$C$5:$D$261,2,0)</f>
        <v>0</v>
      </c>
      <c r="E145" s="32"/>
      <c r="F145" s="32"/>
      <c r="G145" s="39"/>
      <c r="H145" s="39"/>
      <c r="I145" s="32"/>
      <c r="J145" s="33"/>
      <c r="K145" s="32"/>
    </row>
    <row r="146" spans="1:11" ht="16.5">
      <c r="A146" s="32"/>
      <c r="B146" s="11"/>
      <c r="C146" s="11" t="str">
        <f>A146&amp;B146</f>
        <v/>
      </c>
      <c r="D146" s="32">
        <f>VLOOKUP($C146,Asignaturas!$C$5:$D$261,2,0)</f>
        <v>0</v>
      </c>
      <c r="E146" s="32"/>
      <c r="F146" s="32"/>
      <c r="G146" s="39"/>
      <c r="H146" s="39"/>
      <c r="I146" s="32"/>
      <c r="J146" s="33"/>
      <c r="K146" s="32"/>
    </row>
    <row r="147" spans="1:11" ht="16.5">
      <c r="A147" s="32"/>
      <c r="B147" s="11"/>
      <c r="C147" s="11" t="str">
        <f>A147&amp;B147</f>
        <v/>
      </c>
      <c r="D147" s="32">
        <f>VLOOKUP($C147,Asignaturas!$C$5:$D$261,2,0)</f>
        <v>0</v>
      </c>
      <c r="E147" s="32"/>
      <c r="F147" s="32"/>
      <c r="G147" s="39"/>
      <c r="H147" s="39"/>
      <c r="I147" s="32"/>
      <c r="J147" s="33"/>
      <c r="K147" s="32"/>
    </row>
    <row r="148" spans="1:11" ht="16.5">
      <c r="A148" s="32"/>
      <c r="B148" s="11"/>
      <c r="C148" s="11" t="str">
        <f>A148&amp;B148</f>
        <v/>
      </c>
      <c r="D148" s="32">
        <f>VLOOKUP($C148,Asignaturas!$C$5:$D$261,2,0)</f>
        <v>0</v>
      </c>
      <c r="E148" s="32"/>
      <c r="F148" s="32"/>
      <c r="G148" s="39"/>
      <c r="H148" s="39"/>
      <c r="I148" s="32"/>
      <c r="J148" s="33"/>
      <c r="K148" s="32"/>
    </row>
    <row r="149" spans="1:11" ht="16.5">
      <c r="A149" s="32"/>
      <c r="B149" s="11"/>
      <c r="C149" s="11" t="str">
        <f>A149&amp;B149</f>
        <v/>
      </c>
      <c r="D149" s="32">
        <f>VLOOKUP($C149,Asignaturas!$C$5:$D$261,2,0)</f>
        <v>0</v>
      </c>
      <c r="E149" s="32"/>
      <c r="F149" s="32"/>
      <c r="G149" s="39"/>
      <c r="H149" s="39"/>
      <c r="I149" s="32"/>
      <c r="J149" s="33"/>
      <c r="K149" s="32"/>
    </row>
    <row r="150" spans="1:11" ht="16.5">
      <c r="A150" s="32"/>
      <c r="B150" s="11"/>
      <c r="C150" s="11" t="str">
        <f>A150&amp;B150</f>
        <v/>
      </c>
      <c r="D150" s="32">
        <f>VLOOKUP($C150,Asignaturas!$C$5:$D$261,2,0)</f>
        <v>0</v>
      </c>
      <c r="E150" s="32"/>
      <c r="F150" s="32"/>
      <c r="G150" s="39"/>
      <c r="H150" s="39"/>
      <c r="I150" s="32"/>
      <c r="J150" s="33"/>
      <c r="K150" s="32"/>
    </row>
    <row r="151" spans="1:11" ht="16.5">
      <c r="A151" s="32"/>
      <c r="B151" s="11"/>
      <c r="C151" s="11" t="str">
        <f>A151&amp;B151</f>
        <v/>
      </c>
      <c r="D151" s="32">
        <f>VLOOKUP($C151,Asignaturas!$C$5:$D$261,2,0)</f>
        <v>0</v>
      </c>
      <c r="E151" s="32"/>
      <c r="F151" s="32"/>
      <c r="G151" s="39"/>
      <c r="H151" s="39"/>
      <c r="I151" s="32"/>
      <c r="J151" s="33"/>
      <c r="K151" s="32"/>
    </row>
    <row r="152" spans="1:11" ht="16.5">
      <c r="A152" s="32"/>
      <c r="B152" s="11"/>
      <c r="C152" s="11" t="str">
        <f>A152&amp;B152</f>
        <v/>
      </c>
      <c r="D152" s="32">
        <f>VLOOKUP($C152,Asignaturas!$C$5:$D$261,2,0)</f>
        <v>0</v>
      </c>
      <c r="E152" s="32"/>
      <c r="F152" s="32"/>
      <c r="G152" s="43"/>
      <c r="H152" s="43"/>
      <c r="I152" s="32"/>
      <c r="J152" s="33"/>
      <c r="K152" s="32"/>
    </row>
    <row r="153" spans="1:11" ht="16.5">
      <c r="A153" s="32"/>
      <c r="B153" s="11"/>
      <c r="C153" s="11" t="str">
        <f>A153&amp;B153</f>
        <v/>
      </c>
      <c r="D153" s="32">
        <f>VLOOKUP($C153,Asignaturas!$C$5:$D$261,2,0)</f>
        <v>0</v>
      </c>
      <c r="E153" s="32"/>
      <c r="F153" s="32"/>
      <c r="G153" s="43"/>
      <c r="H153" s="43"/>
      <c r="I153" s="32"/>
      <c r="J153" s="33"/>
      <c r="K153" s="32"/>
    </row>
    <row r="154" spans="1:11" ht="16.5">
      <c r="A154" s="32"/>
      <c r="B154" s="11"/>
      <c r="C154" s="11" t="str">
        <f>A154&amp;B154</f>
        <v/>
      </c>
      <c r="D154" s="32">
        <f>VLOOKUP($C154,Asignaturas!$C$5:$D$261,2,0)</f>
        <v>0</v>
      </c>
      <c r="E154" s="32"/>
      <c r="F154" s="32"/>
      <c r="G154" s="43"/>
      <c r="H154" s="43"/>
      <c r="I154" s="32"/>
      <c r="J154" s="33"/>
      <c r="K154" s="32"/>
    </row>
    <row r="155" spans="1:11" ht="16.5">
      <c r="A155" s="32"/>
      <c r="B155" s="11"/>
      <c r="C155" s="11" t="str">
        <f>A155&amp;B155</f>
        <v/>
      </c>
      <c r="D155" s="32">
        <f>VLOOKUP($C155,Asignaturas!$C$5:$D$261,2,0)</f>
        <v>0</v>
      </c>
      <c r="E155" s="32"/>
      <c r="F155" s="32"/>
      <c r="G155" s="43"/>
      <c r="H155" s="43"/>
      <c r="I155" s="32"/>
      <c r="J155" s="33"/>
      <c r="K155" s="32"/>
    </row>
    <row r="156" spans="1:11" ht="16.5">
      <c r="A156" s="32"/>
      <c r="B156" s="11"/>
      <c r="C156" s="11" t="str">
        <f>A156&amp;B156</f>
        <v/>
      </c>
      <c r="D156" s="32">
        <f>VLOOKUP($C156,Asignaturas!$C$5:$D$261,2,0)</f>
        <v>0</v>
      </c>
      <c r="E156" s="32"/>
      <c r="F156" s="32"/>
      <c r="G156" s="43"/>
      <c r="H156" s="43"/>
      <c r="I156" s="32"/>
      <c r="J156" s="33"/>
      <c r="K156" s="32"/>
    </row>
    <row r="157" spans="1:11" ht="16.5">
      <c r="A157" s="32"/>
      <c r="B157" s="11"/>
      <c r="C157" s="11" t="str">
        <f>A157&amp;B157</f>
        <v/>
      </c>
      <c r="D157" s="32">
        <f>VLOOKUP($C157,Asignaturas!$C$5:$D$261,2,0)</f>
        <v>0</v>
      </c>
      <c r="E157" s="32"/>
      <c r="F157" s="32"/>
      <c r="G157" s="43"/>
      <c r="H157" s="43"/>
      <c r="I157" s="32"/>
      <c r="J157" s="33"/>
      <c r="K157" s="32"/>
    </row>
    <row r="158" spans="1:11" ht="16.5">
      <c r="A158" s="32"/>
      <c r="B158" s="11"/>
      <c r="C158" s="11" t="str">
        <f>A158&amp;B158</f>
        <v/>
      </c>
      <c r="D158" s="32">
        <f>VLOOKUP($C158,Asignaturas!$C$5:$D$261,2,0)</f>
        <v>0</v>
      </c>
      <c r="E158" s="32"/>
      <c r="F158" s="32"/>
      <c r="G158" s="39"/>
      <c r="H158" s="39"/>
      <c r="I158" s="32"/>
      <c r="J158" s="33"/>
      <c r="K158" s="32"/>
    </row>
    <row r="159" spans="1:11" ht="16.5">
      <c r="A159" s="32"/>
      <c r="B159" s="11"/>
      <c r="C159" s="11" t="str">
        <f>A159&amp;B159</f>
        <v/>
      </c>
      <c r="D159" s="32">
        <f>VLOOKUP($C159,Asignaturas!$C$5:$D$261,2,0)</f>
        <v>0</v>
      </c>
      <c r="E159" s="32"/>
      <c r="F159" s="32"/>
      <c r="G159" s="39"/>
      <c r="H159" s="39"/>
      <c r="I159" s="32"/>
      <c r="J159" s="33"/>
      <c r="K159" s="32"/>
    </row>
    <row r="160" spans="1:11" ht="16.5">
      <c r="A160" s="32"/>
      <c r="B160" s="11"/>
      <c r="C160" s="11" t="str">
        <f>A160&amp;B160</f>
        <v/>
      </c>
      <c r="D160" s="32">
        <f>VLOOKUP($C160,Asignaturas!$C$5:$D$261,2,0)</f>
        <v>0</v>
      </c>
      <c r="E160" s="32"/>
      <c r="F160" s="32"/>
      <c r="G160" s="39"/>
      <c r="H160" s="39"/>
      <c r="I160" s="32"/>
      <c r="J160" s="33"/>
      <c r="K160" s="32"/>
    </row>
    <row r="161" spans="1:11" ht="16.5">
      <c r="A161" s="32"/>
      <c r="B161" s="11"/>
      <c r="C161" s="11" t="str">
        <f>A161&amp;B161</f>
        <v/>
      </c>
      <c r="D161" s="32">
        <f>VLOOKUP($C161,Asignaturas!$C$5:$D$261,2,0)</f>
        <v>0</v>
      </c>
      <c r="E161" s="32"/>
      <c r="F161" s="32"/>
      <c r="G161" s="39"/>
      <c r="H161" s="39"/>
      <c r="I161" s="32"/>
      <c r="J161" s="33"/>
      <c r="K161" s="32"/>
    </row>
    <row r="162" spans="1:11" ht="16.5">
      <c r="A162" s="32"/>
      <c r="B162" s="11"/>
      <c r="C162" s="11" t="str">
        <f>A162&amp;B162</f>
        <v/>
      </c>
      <c r="D162" s="32">
        <f>VLOOKUP($C162,Asignaturas!$C$5:$D$261,2,0)</f>
        <v>0</v>
      </c>
      <c r="E162" s="32"/>
      <c r="F162" s="32"/>
      <c r="G162" s="39"/>
      <c r="H162" s="39"/>
      <c r="I162" s="32"/>
      <c r="J162" s="33"/>
      <c r="K162" s="32"/>
    </row>
    <row r="163" spans="1:11" ht="16.5">
      <c r="A163" s="32"/>
      <c r="B163" s="11"/>
      <c r="C163" s="11" t="str">
        <f>A163&amp;B163</f>
        <v/>
      </c>
      <c r="D163" s="32">
        <f>VLOOKUP($C163,Asignaturas!$C$5:$D$261,2,0)</f>
        <v>0</v>
      </c>
      <c r="E163" s="32"/>
      <c r="F163" s="32"/>
      <c r="G163" s="39"/>
      <c r="H163" s="39"/>
      <c r="I163" s="32"/>
      <c r="J163" s="33"/>
      <c r="K163" s="32"/>
    </row>
    <row r="164" spans="1:11" ht="16.5">
      <c r="A164" s="32"/>
      <c r="B164" s="11"/>
      <c r="C164" s="11" t="str">
        <f>A164&amp;B164</f>
        <v/>
      </c>
      <c r="D164" s="32">
        <f>VLOOKUP($C164,Asignaturas!$C$5:$D$261,2,0)</f>
        <v>0</v>
      </c>
      <c r="E164" s="32"/>
      <c r="F164" s="32"/>
      <c r="G164" s="39"/>
      <c r="H164" s="39"/>
      <c r="I164" s="32"/>
      <c r="J164" s="33"/>
      <c r="K164" s="32"/>
    </row>
    <row r="165" spans="1:11" ht="16.5">
      <c r="A165" s="32"/>
      <c r="B165" s="11"/>
      <c r="C165" s="11" t="str">
        <f>A165&amp;B165</f>
        <v/>
      </c>
      <c r="D165" s="32">
        <f>VLOOKUP($C165,Asignaturas!$C$5:$D$261,2,0)</f>
        <v>0</v>
      </c>
      <c r="E165" s="32"/>
      <c r="F165" s="32"/>
      <c r="G165" s="39"/>
      <c r="H165" s="39"/>
      <c r="I165" s="32"/>
      <c r="J165" s="33"/>
      <c r="K165" s="32"/>
    </row>
    <row r="166" spans="1:11" ht="16.5">
      <c r="A166" s="32"/>
      <c r="B166" s="11"/>
      <c r="C166" s="11" t="str">
        <f>A166&amp;B166</f>
        <v/>
      </c>
      <c r="D166" s="32">
        <f>VLOOKUP($C166,Asignaturas!$C$5:$D$261,2,0)</f>
        <v>0</v>
      </c>
      <c r="E166" s="32"/>
      <c r="F166" s="32"/>
      <c r="G166" s="39"/>
      <c r="H166" s="39"/>
      <c r="I166" s="32"/>
      <c r="J166" s="33"/>
      <c r="K166" s="32"/>
    </row>
    <row r="167" spans="1:11" ht="16.5">
      <c r="A167" s="32"/>
      <c r="B167" s="11"/>
      <c r="C167" s="11" t="str">
        <f>A167&amp;B167</f>
        <v/>
      </c>
      <c r="D167" s="32">
        <f>VLOOKUP($C167,Asignaturas!$C$5:$D$261,2,0)</f>
        <v>0</v>
      </c>
      <c r="E167" s="32"/>
      <c r="F167" s="32"/>
      <c r="G167" s="39"/>
      <c r="H167" s="39"/>
      <c r="I167" s="32"/>
      <c r="J167" s="33"/>
      <c r="K167" s="32"/>
    </row>
    <row r="168" spans="1:11" ht="16.5">
      <c r="A168" s="32"/>
      <c r="B168" s="11"/>
      <c r="C168" s="11" t="str">
        <f>A168&amp;B168</f>
        <v/>
      </c>
      <c r="D168" s="32">
        <f>VLOOKUP($C168,Asignaturas!$C$5:$D$261,2,0)</f>
        <v>0</v>
      </c>
      <c r="E168" s="32"/>
      <c r="F168" s="32"/>
      <c r="G168" s="39"/>
      <c r="H168" s="39"/>
      <c r="I168" s="32"/>
      <c r="J168" s="33"/>
      <c r="K168" s="32"/>
    </row>
    <row r="169" spans="1:11" ht="16.5">
      <c r="A169" s="32"/>
      <c r="B169" s="11"/>
      <c r="C169" s="11" t="str">
        <f>A169&amp;B169</f>
        <v/>
      </c>
      <c r="D169" s="32">
        <f>VLOOKUP($C169,Asignaturas!$C$5:$D$261,2,0)</f>
        <v>0</v>
      </c>
      <c r="E169" s="32"/>
      <c r="F169" s="32"/>
      <c r="G169" s="39"/>
      <c r="H169" s="39"/>
      <c r="I169" s="32"/>
      <c r="J169" s="33"/>
      <c r="K169" s="32"/>
    </row>
    <row r="170" spans="1:11" ht="16.5">
      <c r="A170" s="32"/>
      <c r="B170" s="11"/>
      <c r="C170" s="11" t="str">
        <f>A170&amp;B170</f>
        <v/>
      </c>
      <c r="D170" s="32">
        <f>VLOOKUP($C170,Asignaturas!$C$5:$D$261,2,0)</f>
        <v>0</v>
      </c>
      <c r="E170" s="32"/>
      <c r="F170" s="32"/>
      <c r="G170" s="39"/>
      <c r="H170" s="39"/>
      <c r="I170" s="32"/>
      <c r="J170" s="33"/>
      <c r="K170" s="32"/>
    </row>
    <row r="171" spans="1:11" ht="16.5">
      <c r="A171" s="32"/>
      <c r="B171" s="11"/>
      <c r="C171" s="11" t="str">
        <f>A171&amp;B171</f>
        <v/>
      </c>
      <c r="D171" s="32">
        <f>VLOOKUP($C171,Asignaturas!$C$5:$D$261,2,0)</f>
        <v>0</v>
      </c>
      <c r="E171" s="32"/>
      <c r="F171" s="32"/>
      <c r="G171" s="39"/>
      <c r="H171" s="39"/>
      <c r="I171" s="32"/>
      <c r="J171" s="33"/>
      <c r="K171" s="32"/>
    </row>
    <row r="172" spans="1:11" ht="16.5">
      <c r="A172" s="32"/>
      <c r="B172" s="11"/>
      <c r="C172" s="11" t="str">
        <f>A172&amp;B172</f>
        <v/>
      </c>
      <c r="D172" s="32">
        <f>VLOOKUP($C172,Asignaturas!$C$5:$D$261,2,0)</f>
        <v>0</v>
      </c>
      <c r="E172" s="32"/>
      <c r="F172" s="32"/>
      <c r="G172" s="39"/>
      <c r="H172" s="39"/>
      <c r="I172" s="32"/>
      <c r="J172" s="33"/>
      <c r="K172" s="32"/>
    </row>
    <row r="173" spans="1:11" ht="16.5">
      <c r="A173" s="32"/>
      <c r="B173" s="11"/>
      <c r="C173" s="11" t="str">
        <f>A173&amp;B173</f>
        <v/>
      </c>
      <c r="D173" s="32">
        <f>VLOOKUP($C173,Asignaturas!$C$5:$D$261,2,0)</f>
        <v>0</v>
      </c>
      <c r="E173" s="32"/>
      <c r="F173" s="32"/>
      <c r="G173" s="39"/>
      <c r="H173" s="39"/>
      <c r="I173" s="32"/>
      <c r="J173" s="33"/>
      <c r="K173" s="32"/>
    </row>
    <row r="174" spans="1:11" ht="16.5">
      <c r="A174" s="32"/>
      <c r="B174" s="11"/>
      <c r="C174" s="11" t="str">
        <f>A174&amp;B174</f>
        <v/>
      </c>
      <c r="D174" s="32">
        <f>VLOOKUP($C174,Asignaturas!$C$5:$D$261,2,0)</f>
        <v>0</v>
      </c>
      <c r="E174" s="32"/>
      <c r="F174" s="32"/>
      <c r="G174" s="39"/>
      <c r="H174" s="39"/>
      <c r="I174" s="32"/>
      <c r="J174" s="33"/>
      <c r="K174" s="32"/>
    </row>
    <row r="175" spans="1:11" ht="16.5">
      <c r="A175" s="32"/>
      <c r="B175" s="11"/>
      <c r="C175" s="11" t="str">
        <f>A175&amp;B175</f>
        <v/>
      </c>
      <c r="D175" s="32">
        <f>VLOOKUP($C175,Asignaturas!$C$5:$D$261,2,0)</f>
        <v>0</v>
      </c>
      <c r="E175" s="32"/>
      <c r="F175" s="32"/>
      <c r="G175" s="39"/>
      <c r="H175" s="39"/>
      <c r="I175" s="32"/>
      <c r="J175" s="33"/>
      <c r="K175" s="32"/>
    </row>
    <row r="176" spans="1:11" ht="16.5">
      <c r="A176" s="32"/>
      <c r="B176" s="11"/>
      <c r="C176" s="11" t="str">
        <f>A176&amp;B176</f>
        <v/>
      </c>
      <c r="D176" s="32">
        <f>VLOOKUP($C176,Asignaturas!$C$5:$D$261,2,0)</f>
        <v>0</v>
      </c>
      <c r="E176" s="32"/>
      <c r="F176" s="32"/>
      <c r="G176" s="39"/>
      <c r="H176" s="39"/>
      <c r="I176" s="32"/>
      <c r="J176" s="33"/>
      <c r="K176" s="32"/>
    </row>
    <row r="177" spans="1:11" ht="16.5">
      <c r="A177" s="32"/>
      <c r="B177" s="11"/>
      <c r="C177" s="11" t="str">
        <f>A177&amp;B177</f>
        <v/>
      </c>
      <c r="D177" s="32">
        <f>VLOOKUP($C177,Asignaturas!$C$5:$D$261,2,0)</f>
        <v>0</v>
      </c>
      <c r="E177" s="32"/>
      <c r="F177" s="32"/>
      <c r="G177" s="39"/>
      <c r="H177" s="39"/>
      <c r="I177" s="32"/>
      <c r="J177" s="33"/>
      <c r="K177" s="32"/>
    </row>
    <row r="178" spans="1:11" ht="16.5">
      <c r="A178" s="32"/>
      <c r="B178" s="11"/>
      <c r="C178" s="11" t="str">
        <f>A178&amp;B178</f>
        <v/>
      </c>
      <c r="D178" s="32">
        <f>VLOOKUP($C178,Asignaturas!$C$5:$D$261,2,0)</f>
        <v>0</v>
      </c>
      <c r="E178" s="32"/>
      <c r="F178" s="32"/>
      <c r="G178" s="39"/>
      <c r="H178" s="39"/>
      <c r="I178" s="32"/>
      <c r="J178" s="33"/>
      <c r="K178" s="32"/>
    </row>
    <row r="179" spans="1:11" ht="16.5">
      <c r="A179" s="32"/>
      <c r="B179" s="11"/>
      <c r="C179" s="11" t="str">
        <f>A179&amp;B179</f>
        <v/>
      </c>
      <c r="D179" s="32">
        <f>VLOOKUP($C179,Asignaturas!$C$5:$D$261,2,0)</f>
        <v>0</v>
      </c>
      <c r="E179" s="32"/>
      <c r="F179" s="32"/>
      <c r="G179" s="39"/>
      <c r="H179" s="39"/>
      <c r="I179" s="32"/>
      <c r="J179" s="33"/>
      <c r="K179" s="32"/>
    </row>
    <row r="180" spans="1:11" ht="16.5">
      <c r="A180" s="32"/>
      <c r="B180" s="11"/>
      <c r="C180" s="11" t="str">
        <f>A180&amp;B180</f>
        <v/>
      </c>
      <c r="D180" s="32">
        <f>VLOOKUP($C180,Asignaturas!$C$5:$D$261,2,0)</f>
        <v>0</v>
      </c>
      <c r="E180" s="32"/>
      <c r="F180" s="32"/>
      <c r="G180" s="39"/>
      <c r="H180" s="39"/>
      <c r="I180" s="32"/>
      <c r="J180" s="33"/>
      <c r="K180" s="32"/>
    </row>
    <row r="181" spans="1:11" ht="16.5">
      <c r="A181" s="32"/>
      <c r="B181" s="11"/>
      <c r="C181" s="11" t="str">
        <f>A181&amp;B181</f>
        <v/>
      </c>
      <c r="D181" s="32">
        <f>VLOOKUP($C181,Asignaturas!$C$5:$D$261,2,0)</f>
        <v>0</v>
      </c>
      <c r="E181" s="32"/>
      <c r="F181" s="32"/>
      <c r="G181" s="39"/>
      <c r="H181" s="39"/>
      <c r="I181" s="32"/>
      <c r="J181" s="33"/>
      <c r="K181" s="32"/>
    </row>
    <row r="182" spans="1:11" ht="16.5">
      <c r="A182" s="32"/>
      <c r="B182" s="11"/>
      <c r="C182" s="11" t="str">
        <f>A182&amp;B182</f>
        <v/>
      </c>
      <c r="D182" s="32">
        <f>VLOOKUP($C182,Asignaturas!$C$5:$D$261,2,0)</f>
        <v>0</v>
      </c>
      <c r="E182" s="32"/>
      <c r="F182" s="32"/>
      <c r="G182" s="39"/>
      <c r="H182" s="39"/>
      <c r="I182" s="32"/>
      <c r="J182" s="33"/>
      <c r="K182" s="32"/>
    </row>
    <row r="183" spans="1:11" ht="16.5">
      <c r="A183" s="32"/>
      <c r="B183" s="11"/>
      <c r="C183" s="11" t="str">
        <f>A183&amp;B183</f>
        <v/>
      </c>
      <c r="D183" s="32">
        <f>VLOOKUP($C183,Asignaturas!$C$5:$D$261,2,0)</f>
        <v>0</v>
      </c>
      <c r="E183" s="32"/>
      <c r="F183" s="32"/>
      <c r="G183" s="39"/>
      <c r="H183" s="39"/>
      <c r="I183" s="32"/>
      <c r="J183" s="33"/>
      <c r="K183" s="32"/>
    </row>
    <row r="184" spans="1:11" ht="16.5">
      <c r="A184" s="32"/>
      <c r="B184" s="11"/>
      <c r="C184" s="11" t="str">
        <f>A184&amp;B184</f>
        <v/>
      </c>
      <c r="D184" s="32">
        <f>VLOOKUP($C184,Asignaturas!$C$5:$D$261,2,0)</f>
        <v>0</v>
      </c>
      <c r="E184" s="32"/>
      <c r="F184" s="32"/>
      <c r="G184" s="39"/>
      <c r="H184" s="39"/>
      <c r="I184" s="32"/>
      <c r="J184" s="33"/>
      <c r="K184" s="32"/>
    </row>
    <row r="185" spans="1:11" ht="16.5">
      <c r="A185" s="32"/>
      <c r="B185" s="11"/>
      <c r="C185" s="11" t="str">
        <f>A185&amp;B185</f>
        <v/>
      </c>
      <c r="D185" s="32">
        <f>VLOOKUP($C185,Asignaturas!$C$5:$D$261,2,0)</f>
        <v>0</v>
      </c>
      <c r="E185" s="32"/>
      <c r="F185" s="32"/>
      <c r="G185" s="39"/>
      <c r="H185" s="39"/>
      <c r="I185" s="32"/>
      <c r="J185" s="33"/>
      <c r="K185" s="32"/>
    </row>
    <row r="186" spans="1:11" ht="16.5">
      <c r="A186" s="32"/>
      <c r="B186" s="11"/>
      <c r="C186" s="11" t="str">
        <f>A186&amp;B186</f>
        <v/>
      </c>
      <c r="D186" s="32">
        <f>VLOOKUP($C186,Asignaturas!$C$5:$D$261,2,0)</f>
        <v>0</v>
      </c>
      <c r="E186" s="32"/>
      <c r="F186" s="32" t="s">
        <v>464</v>
      </c>
      <c r="G186" s="39">
        <v>45982</v>
      </c>
      <c r="H186" s="39">
        <v>45985</v>
      </c>
      <c r="I186" s="32" t="s">
        <v>481</v>
      </c>
      <c r="J186" s="33"/>
      <c r="K186" s="32"/>
    </row>
    <row r="187" spans="1:11" ht="16.5">
      <c r="A187" s="32"/>
      <c r="B187" s="11"/>
      <c r="C187" s="11" t="str">
        <f>A187&amp;B187</f>
        <v/>
      </c>
      <c r="D187" s="32">
        <f>VLOOKUP($C187,Asignaturas!$C$5:$D$261,2,0)</f>
        <v>0</v>
      </c>
      <c r="E187" s="66" t="s">
        <v>483</v>
      </c>
      <c r="F187" s="32" t="s">
        <v>471</v>
      </c>
      <c r="G187" s="39">
        <v>45982</v>
      </c>
      <c r="H187" s="39">
        <v>45985</v>
      </c>
      <c r="I187" s="32" t="s">
        <v>482</v>
      </c>
      <c r="J187" s="33"/>
      <c r="K187" s="32"/>
    </row>
    <row r="188" spans="1:11" ht="16.5">
      <c r="A188" s="32"/>
      <c r="B188" s="11"/>
      <c r="C188" s="11" t="str">
        <f t="shared" ref="C188:C189" si="5">A188&amp;B188</f>
        <v/>
      </c>
      <c r="D188" s="32">
        <f>VLOOKUP($C188,Asignaturas!$C$5:$D$261,2,0)</f>
        <v>0</v>
      </c>
      <c r="E188" s="32" t="s">
        <v>483</v>
      </c>
      <c r="F188" s="32" t="s">
        <v>464</v>
      </c>
      <c r="G188" s="39">
        <v>45985</v>
      </c>
      <c r="H188" s="39">
        <v>45986</v>
      </c>
      <c r="I188" s="32" t="s">
        <v>481</v>
      </c>
      <c r="J188" s="33"/>
      <c r="K188" s="32"/>
    </row>
    <row r="189" spans="1:11" ht="16.5">
      <c r="A189" s="32"/>
      <c r="B189" s="11"/>
      <c r="C189" s="11" t="str">
        <f t="shared" si="5"/>
        <v/>
      </c>
      <c r="D189" s="32">
        <f>VLOOKUP($C189,Asignaturas!$C$5:$D$261,2,0)</f>
        <v>0</v>
      </c>
      <c r="E189" s="66" t="s">
        <v>483</v>
      </c>
      <c r="F189" s="32" t="s">
        <v>464</v>
      </c>
      <c r="G189" s="39">
        <v>45985</v>
      </c>
      <c r="H189" s="39">
        <v>45986</v>
      </c>
      <c r="I189" s="32" t="s">
        <v>481</v>
      </c>
      <c r="J189" s="33"/>
      <c r="K189" s="32"/>
    </row>
    <row r="190" spans="1:11" ht="16.5">
      <c r="A190" s="32"/>
      <c r="B190" s="11"/>
      <c r="C190" s="11" t="str">
        <f>A190&amp;B190</f>
        <v/>
      </c>
      <c r="D190" s="32">
        <f>VLOOKUP($C190,Asignaturas!$C$5:$D$261,2,0)</f>
        <v>0</v>
      </c>
      <c r="E190" s="32" t="s">
        <v>483</v>
      </c>
      <c r="F190" s="32" t="s">
        <v>464</v>
      </c>
      <c r="G190" s="39">
        <v>45985</v>
      </c>
      <c r="H190" s="39">
        <v>45986</v>
      </c>
      <c r="I190" s="32" t="s">
        <v>481</v>
      </c>
      <c r="J190" s="33"/>
      <c r="K190" s="32"/>
    </row>
    <row r="191" spans="1:11" ht="16.5">
      <c r="A191" s="32"/>
      <c r="B191" s="11"/>
      <c r="C191" s="11" t="str">
        <f>A191&amp;B191</f>
        <v/>
      </c>
      <c r="D191" s="32">
        <f>VLOOKUP($C191,Asignaturas!$C$5:$D$261,2,0)</f>
        <v>0</v>
      </c>
      <c r="E191" s="32" t="s">
        <v>484</v>
      </c>
      <c r="F191" s="32" t="s">
        <v>464</v>
      </c>
      <c r="G191" s="39">
        <v>45985</v>
      </c>
      <c r="H191" s="39">
        <v>45986</v>
      </c>
      <c r="I191" s="32" t="s">
        <v>481</v>
      </c>
      <c r="J191" s="33"/>
      <c r="K191" s="32"/>
    </row>
    <row r="192" spans="1:11" ht="16.5">
      <c r="A192" s="32"/>
      <c r="B192" s="11"/>
      <c r="C192" s="11" t="str">
        <f>A192&amp;B192</f>
        <v/>
      </c>
      <c r="D192" s="32">
        <f>VLOOKUP($C192,Asignaturas!$C$5:$D$261,2,0)</f>
        <v>0</v>
      </c>
      <c r="E192" s="32" t="s">
        <v>483</v>
      </c>
      <c r="F192" s="32" t="s">
        <v>471</v>
      </c>
      <c r="G192" s="39">
        <v>45985</v>
      </c>
      <c r="H192" s="39">
        <v>45986</v>
      </c>
      <c r="I192" s="32" t="s">
        <v>482</v>
      </c>
      <c r="J192" s="33"/>
      <c r="K192" s="32"/>
    </row>
    <row r="193" spans="1:11" ht="16.5">
      <c r="A193" s="32"/>
      <c r="B193" s="11"/>
      <c r="C193" s="11" t="str">
        <f>A193&amp;B193</f>
        <v/>
      </c>
      <c r="D193" s="32">
        <f>VLOOKUP($C193,Asignaturas!$C$5:$D$261,2,0)</f>
        <v>0</v>
      </c>
      <c r="E193" s="66" t="s">
        <v>483</v>
      </c>
      <c r="F193" s="32" t="s">
        <v>471</v>
      </c>
      <c r="G193" s="39">
        <v>45985</v>
      </c>
      <c r="H193" s="39">
        <v>45986</v>
      </c>
      <c r="I193" s="32" t="s">
        <v>482</v>
      </c>
      <c r="J193" s="33"/>
      <c r="K193" s="32"/>
    </row>
    <row r="194" spans="1:11" ht="16.5">
      <c r="A194" s="32"/>
      <c r="B194" s="11"/>
      <c r="C194" s="11" t="str">
        <f>A194&amp;B194</f>
        <v/>
      </c>
      <c r="D194" s="32">
        <f>VLOOKUP($C194,Asignaturas!$C$5:$D$261,2,0)</f>
        <v>0</v>
      </c>
      <c r="E194" s="66" t="s">
        <v>483</v>
      </c>
      <c r="F194" s="32" t="s">
        <v>471</v>
      </c>
      <c r="G194" s="39">
        <v>45985</v>
      </c>
      <c r="H194" s="39">
        <v>45986</v>
      </c>
      <c r="I194" s="32" t="s">
        <v>482</v>
      </c>
      <c r="J194" s="33"/>
      <c r="K194" s="32"/>
    </row>
    <row r="195" spans="1:11" ht="16.5">
      <c r="A195" s="32"/>
      <c r="B195" s="11"/>
      <c r="C195" s="11" t="str">
        <f>A195&amp;B195</f>
        <v/>
      </c>
      <c r="D195" s="32">
        <f>VLOOKUP($C195,Asignaturas!$C$5:$D$261,2,0)</f>
        <v>0</v>
      </c>
      <c r="E195" s="66" t="s">
        <v>485</v>
      </c>
      <c r="F195" s="32" t="s">
        <v>464</v>
      </c>
      <c r="G195" s="39">
        <v>45986</v>
      </c>
      <c r="H195" s="39">
        <v>45987</v>
      </c>
      <c r="I195" s="32" t="s">
        <v>481</v>
      </c>
      <c r="J195" s="33"/>
      <c r="K195" s="32"/>
    </row>
    <row r="196" spans="1:11" ht="16.5">
      <c r="A196" s="32"/>
      <c r="B196" s="11"/>
      <c r="C196" s="11" t="str">
        <f>A196&amp;B196</f>
        <v/>
      </c>
      <c r="D196" s="32">
        <f>VLOOKUP($C196,Asignaturas!$C$5:$D$261,2,0)</f>
        <v>0</v>
      </c>
      <c r="E196" s="66" t="s">
        <v>485</v>
      </c>
      <c r="F196" s="32" t="s">
        <v>464</v>
      </c>
      <c r="G196" s="39">
        <v>45986</v>
      </c>
      <c r="H196" s="39">
        <v>45987</v>
      </c>
      <c r="I196" s="32" t="s">
        <v>481</v>
      </c>
      <c r="J196" s="33"/>
      <c r="K196" s="32"/>
    </row>
    <row r="197" spans="1:11" ht="16.5">
      <c r="A197" s="32"/>
      <c r="B197" s="11"/>
      <c r="C197" s="11" t="str">
        <f>A197&amp;B197</f>
        <v/>
      </c>
      <c r="D197" s="32">
        <f>VLOOKUP($C197,Asignaturas!$C$5:$D$261,2,0)</f>
        <v>0</v>
      </c>
      <c r="E197" s="32" t="s">
        <v>483</v>
      </c>
      <c r="F197" s="32" t="s">
        <v>471</v>
      </c>
      <c r="G197" s="39">
        <v>45986</v>
      </c>
      <c r="H197" s="39">
        <v>45987</v>
      </c>
      <c r="I197" s="32" t="s">
        <v>482</v>
      </c>
      <c r="J197" s="33"/>
      <c r="K197" s="32"/>
    </row>
    <row r="198" spans="1:11" ht="16.5">
      <c r="A198" s="32"/>
      <c r="B198" s="11"/>
      <c r="C198" s="11" t="str">
        <f>A198&amp;B198</f>
        <v/>
      </c>
      <c r="D198" s="32">
        <f>VLOOKUP($C198,Asignaturas!$C$5:$D$261,2,0)</f>
        <v>0</v>
      </c>
      <c r="E198" s="32" t="s">
        <v>485</v>
      </c>
      <c r="F198" s="32" t="s">
        <v>471</v>
      </c>
      <c r="G198" s="39">
        <v>45986</v>
      </c>
      <c r="H198" s="39">
        <v>45987</v>
      </c>
      <c r="I198" s="32" t="s">
        <v>482</v>
      </c>
      <c r="J198" s="33"/>
      <c r="K198" s="32"/>
    </row>
    <row r="199" spans="1:11" ht="16.5">
      <c r="A199" s="32"/>
      <c r="B199" s="11"/>
      <c r="C199" s="11" t="str">
        <f>A199&amp;B199</f>
        <v/>
      </c>
      <c r="D199" s="32">
        <f>VLOOKUP($C199,Asignaturas!$C$5:$D$261,2,0)</f>
        <v>0</v>
      </c>
      <c r="E199" s="32" t="s">
        <v>484</v>
      </c>
      <c r="F199" s="32" t="s">
        <v>471</v>
      </c>
      <c r="G199" s="39">
        <v>45986</v>
      </c>
      <c r="H199" s="39">
        <v>45987</v>
      </c>
      <c r="I199" s="32" t="s">
        <v>482</v>
      </c>
      <c r="J199" s="33"/>
      <c r="K199" s="32"/>
    </row>
    <row r="200" spans="1:11" ht="16.5">
      <c r="A200" s="32"/>
      <c r="B200" s="11"/>
      <c r="C200" s="11" t="str">
        <f>A200&amp;B200</f>
        <v/>
      </c>
      <c r="D200" s="32">
        <f>VLOOKUP($C200,Asignaturas!$C$5:$D$261,2,0)</f>
        <v>0</v>
      </c>
      <c r="E200" s="32" t="s">
        <v>483</v>
      </c>
      <c r="F200" s="32" t="s">
        <v>464</v>
      </c>
      <c r="G200" s="39">
        <v>45987</v>
      </c>
      <c r="H200" s="39">
        <v>45988</v>
      </c>
      <c r="I200" s="32" t="s">
        <v>481</v>
      </c>
      <c r="J200" s="33"/>
      <c r="K200" s="32"/>
    </row>
    <row r="201" spans="1:11" ht="16.5">
      <c r="A201" s="32"/>
      <c r="B201" s="11"/>
      <c r="C201" s="11" t="str">
        <f>A201&amp;B201</f>
        <v/>
      </c>
      <c r="D201" s="32">
        <f>VLOOKUP($C201,Asignaturas!$C$5:$D$261,2,0)</f>
        <v>0</v>
      </c>
      <c r="E201" s="32" t="s">
        <v>483</v>
      </c>
      <c r="F201" s="32" t="s">
        <v>464</v>
      </c>
      <c r="G201" s="39">
        <v>45987</v>
      </c>
      <c r="H201" s="39">
        <v>45988</v>
      </c>
      <c r="I201" s="32" t="s">
        <v>481</v>
      </c>
      <c r="J201" s="33"/>
      <c r="K201" s="32"/>
    </row>
    <row r="202" spans="1:11" ht="16.5">
      <c r="A202" s="32"/>
      <c r="B202" s="11"/>
      <c r="C202" s="11" t="str">
        <f>A202&amp;B202</f>
        <v/>
      </c>
      <c r="D202" s="32">
        <f>VLOOKUP($C202,Asignaturas!$C$5:$D$261,2,0)</f>
        <v>0</v>
      </c>
      <c r="E202" s="32" t="s">
        <v>483</v>
      </c>
      <c r="F202" s="32" t="s">
        <v>464</v>
      </c>
      <c r="G202" s="39">
        <v>45987</v>
      </c>
      <c r="H202" s="39">
        <v>45988</v>
      </c>
      <c r="I202" s="32" t="s">
        <v>481</v>
      </c>
      <c r="J202" s="33"/>
      <c r="K202" s="32"/>
    </row>
    <row r="203" spans="1:11" ht="16.5">
      <c r="A203" s="32"/>
      <c r="B203" s="11"/>
      <c r="C203" s="11" t="str">
        <f>A203&amp;B203</f>
        <v/>
      </c>
      <c r="D203" s="32">
        <f>VLOOKUP($C203,Asignaturas!$C$5:$D$261,2,0)</f>
        <v>0</v>
      </c>
      <c r="E203" s="66" t="s">
        <v>484</v>
      </c>
      <c r="F203" s="32" t="s">
        <v>464</v>
      </c>
      <c r="G203" s="39">
        <v>45988</v>
      </c>
      <c r="H203" s="39">
        <v>45989</v>
      </c>
      <c r="I203" s="32" t="s">
        <v>481</v>
      </c>
      <c r="J203" s="33"/>
      <c r="K203" s="32"/>
    </row>
    <row r="204" spans="1:11" ht="16.5">
      <c r="A204" s="32"/>
      <c r="B204" s="11"/>
      <c r="C204" s="11" t="str">
        <f>A204&amp;B204</f>
        <v/>
      </c>
      <c r="D204" s="32">
        <f>VLOOKUP($C204,Asignaturas!$C$5:$D$261,2,0)</f>
        <v>0</v>
      </c>
      <c r="E204" s="32" t="s">
        <v>483</v>
      </c>
      <c r="F204" s="32" t="s">
        <v>464</v>
      </c>
      <c r="G204" s="39">
        <v>45988</v>
      </c>
      <c r="H204" s="39">
        <v>45989</v>
      </c>
      <c r="I204" s="32" t="s">
        <v>481</v>
      </c>
      <c r="J204" s="33"/>
      <c r="K204" s="32"/>
    </row>
    <row r="205" spans="1:11" ht="16.5">
      <c r="A205" s="32"/>
      <c r="B205" s="11"/>
      <c r="C205" s="11" t="str">
        <f>A205&amp;B205</f>
        <v/>
      </c>
      <c r="D205" s="32">
        <f>VLOOKUP($C205,Asignaturas!$C$5:$D$261,2,0)</f>
        <v>0</v>
      </c>
      <c r="E205" s="32" t="s">
        <v>485</v>
      </c>
      <c r="F205" s="32" t="s">
        <v>464</v>
      </c>
      <c r="G205" s="39">
        <v>45988</v>
      </c>
      <c r="H205" s="39">
        <v>45989</v>
      </c>
      <c r="I205" s="32" t="s">
        <v>481</v>
      </c>
      <c r="J205" s="33"/>
      <c r="K205" s="32"/>
    </row>
    <row r="206" spans="1:11" ht="16.5">
      <c r="A206" s="32"/>
      <c r="B206" s="11"/>
      <c r="C206" s="11" t="str">
        <f>A206&amp;B206</f>
        <v/>
      </c>
      <c r="D206" s="32">
        <f>VLOOKUP($C206,Asignaturas!$C$5:$D$261,2,0)</f>
        <v>0</v>
      </c>
      <c r="E206" s="66" t="s">
        <v>485</v>
      </c>
      <c r="F206" s="32" t="s">
        <v>471</v>
      </c>
      <c r="G206" s="39">
        <v>45988</v>
      </c>
      <c r="H206" s="39">
        <v>45989</v>
      </c>
      <c r="I206" s="32" t="s">
        <v>482</v>
      </c>
      <c r="J206" s="33"/>
      <c r="K206" s="32"/>
    </row>
    <row r="207" spans="1:11" ht="16.5">
      <c r="A207" s="32"/>
      <c r="B207" s="11"/>
      <c r="C207" s="11" t="str">
        <f>A207&amp;B207</f>
        <v/>
      </c>
      <c r="D207" s="32">
        <f>VLOOKUP($C207,Asignaturas!$C$5:$D$261,2,0)</f>
        <v>0</v>
      </c>
      <c r="E207" s="66" t="s">
        <v>485</v>
      </c>
      <c r="F207" s="32" t="s">
        <v>471</v>
      </c>
      <c r="G207" s="39">
        <v>45988</v>
      </c>
      <c r="H207" s="39">
        <v>45989</v>
      </c>
      <c r="I207" s="32" t="s">
        <v>482</v>
      </c>
      <c r="J207" s="33"/>
      <c r="K207" s="32"/>
    </row>
    <row r="208" spans="1:11" ht="16.5">
      <c r="A208" s="32"/>
      <c r="B208" s="11"/>
      <c r="C208" s="11" t="str">
        <f>A208&amp;B208</f>
        <v/>
      </c>
      <c r="D208" s="32">
        <f>VLOOKUP($C208,Asignaturas!$C$5:$D$261,2,0)</f>
        <v>0</v>
      </c>
      <c r="E208" s="66" t="s">
        <v>483</v>
      </c>
      <c r="F208" s="32" t="s">
        <v>471</v>
      </c>
      <c r="G208" s="39">
        <v>45988</v>
      </c>
      <c r="H208" s="39">
        <v>45989</v>
      </c>
      <c r="I208" s="32" t="s">
        <v>482</v>
      </c>
      <c r="J208" s="33"/>
      <c r="K208" s="32"/>
    </row>
    <row r="209" spans="1:11" ht="16.5">
      <c r="A209" s="32"/>
      <c r="B209" s="11"/>
      <c r="C209" s="11" t="str">
        <f>A209&amp;B209</f>
        <v/>
      </c>
      <c r="D209" s="32">
        <f>VLOOKUP($C209,Asignaturas!$C$5:$D$261,2,0)</f>
        <v>0</v>
      </c>
      <c r="E209" s="66" t="s">
        <v>486</v>
      </c>
      <c r="F209" s="32" t="s">
        <v>471</v>
      </c>
      <c r="G209" s="39">
        <v>45988</v>
      </c>
      <c r="H209" s="39">
        <v>45989</v>
      </c>
      <c r="I209" s="32" t="s">
        <v>482</v>
      </c>
      <c r="J209" s="33"/>
      <c r="K209" s="32"/>
    </row>
    <row r="210" spans="1:11" ht="16.5">
      <c r="A210" s="32"/>
      <c r="B210" s="11"/>
      <c r="C210" s="11" t="str">
        <f>A210&amp;B210</f>
        <v/>
      </c>
      <c r="D210" s="32">
        <f>VLOOKUP($C210,Asignaturas!$C$5:$D$261,2,0)</f>
        <v>0</v>
      </c>
      <c r="E210" s="66" t="s">
        <v>487</v>
      </c>
      <c r="F210" s="32" t="s">
        <v>464</v>
      </c>
      <c r="G210" s="39">
        <v>45989</v>
      </c>
      <c r="H210" s="39">
        <v>45990</v>
      </c>
      <c r="I210" s="32" t="s">
        <v>481</v>
      </c>
      <c r="J210" s="33"/>
      <c r="K210" s="32"/>
    </row>
    <row r="211" spans="1:11" ht="16.5">
      <c r="A211" s="32"/>
      <c r="B211" s="11"/>
      <c r="C211" s="11" t="str">
        <f>A211&amp;B211</f>
        <v/>
      </c>
      <c r="D211" s="32">
        <f>VLOOKUP($C211,Asignaturas!$C$5:$D$261,2,0)</f>
        <v>0</v>
      </c>
      <c r="E211" s="66" t="s">
        <v>485</v>
      </c>
      <c r="F211" s="32" t="s">
        <v>464</v>
      </c>
      <c r="G211" s="39">
        <v>45989</v>
      </c>
      <c r="H211" s="39">
        <v>45990</v>
      </c>
      <c r="I211" s="32" t="s">
        <v>481</v>
      </c>
      <c r="J211" s="33"/>
      <c r="K211" s="32"/>
    </row>
    <row r="212" spans="1:11" ht="16.5">
      <c r="A212" s="32"/>
      <c r="B212" s="11"/>
      <c r="C212" s="11" t="str">
        <f>A212&amp;B212</f>
        <v/>
      </c>
      <c r="D212" s="32">
        <f>VLOOKUP($C212,Asignaturas!$C$5:$D$261,2,0)</f>
        <v>0</v>
      </c>
      <c r="E212" s="66" t="s">
        <v>487</v>
      </c>
      <c r="F212" s="32" t="s">
        <v>464</v>
      </c>
      <c r="G212" s="39">
        <v>45989</v>
      </c>
      <c r="H212" s="39">
        <v>45990</v>
      </c>
      <c r="I212" s="32" t="s">
        <v>481</v>
      </c>
      <c r="J212" s="33"/>
      <c r="K212" s="32"/>
    </row>
    <row r="213" spans="1:11" ht="16.5">
      <c r="A213" s="32"/>
      <c r="B213" s="11"/>
      <c r="C213" s="11" t="str">
        <f>A213&amp;B213</f>
        <v/>
      </c>
      <c r="D213" s="32">
        <f>VLOOKUP($C213,Asignaturas!$C$5:$D$261,2,0)</f>
        <v>0</v>
      </c>
      <c r="E213" s="66" t="s">
        <v>483</v>
      </c>
      <c r="F213" s="32" t="s">
        <v>464</v>
      </c>
      <c r="G213" s="39">
        <v>45989</v>
      </c>
      <c r="H213" s="39">
        <v>45990</v>
      </c>
      <c r="I213" s="32" t="s">
        <v>481</v>
      </c>
      <c r="J213" s="33"/>
      <c r="K213" s="32"/>
    </row>
    <row r="214" spans="1:11" ht="16.5">
      <c r="A214" s="32"/>
      <c r="B214" s="11"/>
      <c r="C214" s="11" t="str">
        <f>A214&amp;B214</f>
        <v/>
      </c>
      <c r="D214" s="32">
        <f>VLOOKUP($C214,Asignaturas!$C$5:$D$261,2,0)</f>
        <v>0</v>
      </c>
      <c r="E214" s="66" t="s">
        <v>485</v>
      </c>
      <c r="F214" s="32" t="s">
        <v>464</v>
      </c>
      <c r="G214" s="39">
        <v>45989</v>
      </c>
      <c r="H214" s="39">
        <v>45990</v>
      </c>
      <c r="I214" s="32" t="s">
        <v>481</v>
      </c>
      <c r="J214" s="33"/>
      <c r="K214" s="32"/>
    </row>
    <row r="215" spans="1:11" ht="16.5">
      <c r="A215" s="32"/>
      <c r="B215" s="11"/>
      <c r="C215" s="11" t="str">
        <f>A215&amp;B215</f>
        <v/>
      </c>
      <c r="D215" s="32">
        <f>VLOOKUP($C215,Asignaturas!$C$5:$D$261,2,0)</f>
        <v>0</v>
      </c>
      <c r="E215" s="66" t="s">
        <v>483</v>
      </c>
      <c r="F215" s="32" t="s">
        <v>471</v>
      </c>
      <c r="G215" s="39">
        <v>45989</v>
      </c>
      <c r="H215" s="39">
        <v>45992</v>
      </c>
      <c r="I215" s="32" t="s">
        <v>482</v>
      </c>
      <c r="J215" s="33"/>
      <c r="K215" s="32"/>
    </row>
    <row r="216" spans="1:11" ht="16.5">
      <c r="A216" s="32"/>
      <c r="B216" s="11"/>
      <c r="C216" s="11" t="str">
        <f>A216&amp;B216</f>
        <v/>
      </c>
      <c r="D216" s="32">
        <f>VLOOKUP($C216,Asignaturas!$C$5:$D$261,2,0)</f>
        <v>0</v>
      </c>
      <c r="E216" s="66" t="s">
        <v>483</v>
      </c>
      <c r="F216" s="32" t="s">
        <v>471</v>
      </c>
      <c r="G216" s="39">
        <v>45989</v>
      </c>
      <c r="H216" s="39">
        <v>45992</v>
      </c>
      <c r="I216" s="32" t="s">
        <v>482</v>
      </c>
      <c r="J216" s="33"/>
      <c r="K216" s="32"/>
    </row>
    <row r="217" spans="1:11" ht="16.5">
      <c r="A217" s="32"/>
      <c r="B217" s="11"/>
      <c r="C217" s="11" t="str">
        <f>A217&amp;B217</f>
        <v/>
      </c>
      <c r="D217" s="32">
        <f>VLOOKUP($C217,Asignaturas!$C$5:$D$261,2,0)</f>
        <v>0</v>
      </c>
      <c r="E217" s="66" t="s">
        <v>484</v>
      </c>
      <c r="F217" s="32" t="s">
        <v>471</v>
      </c>
      <c r="G217" s="39">
        <v>45989</v>
      </c>
      <c r="H217" s="39">
        <v>45990</v>
      </c>
      <c r="I217" s="32" t="s">
        <v>482</v>
      </c>
      <c r="J217" s="33"/>
      <c r="K217" s="32"/>
    </row>
    <row r="218" spans="1:11" ht="16.5">
      <c r="A218" s="32"/>
      <c r="B218" s="11"/>
      <c r="C218" s="11" t="str">
        <f>A218&amp;B218</f>
        <v/>
      </c>
      <c r="D218" s="32">
        <f>VLOOKUP($C218,Asignaturas!$C$5:$D$261,2,0)</f>
        <v>0</v>
      </c>
      <c r="E218" s="66" t="s">
        <v>484</v>
      </c>
      <c r="F218" s="32" t="s">
        <v>471</v>
      </c>
      <c r="G218" s="39">
        <v>45989</v>
      </c>
      <c r="H218" s="39">
        <v>45990</v>
      </c>
      <c r="I218" s="32" t="s">
        <v>482</v>
      </c>
      <c r="J218" s="33"/>
      <c r="K218" s="32"/>
    </row>
    <row r="219" spans="1:11" ht="16.5">
      <c r="A219" s="32"/>
      <c r="B219" s="11"/>
      <c r="C219" s="11" t="str">
        <f>A219&amp;B219</f>
        <v/>
      </c>
      <c r="D219" s="32">
        <f>VLOOKUP($C219,Asignaturas!$C$5:$D$261,2,0)</f>
        <v>0</v>
      </c>
      <c r="E219" s="66" t="s">
        <v>483</v>
      </c>
      <c r="F219" s="32" t="s">
        <v>464</v>
      </c>
      <c r="G219" s="39">
        <v>45992</v>
      </c>
      <c r="H219" s="39">
        <v>45993</v>
      </c>
      <c r="I219" s="32" t="s">
        <v>481</v>
      </c>
      <c r="J219" s="33"/>
      <c r="K219" s="32"/>
    </row>
    <row r="220" spans="1:11" ht="16.5">
      <c r="A220" s="32"/>
      <c r="B220" s="11"/>
      <c r="C220" s="11" t="str">
        <f>A220&amp;B220</f>
        <v/>
      </c>
      <c r="D220" s="32">
        <f>VLOOKUP($C220,Asignaturas!$C$5:$D$261,2,0)</f>
        <v>0</v>
      </c>
      <c r="E220" s="66" t="s">
        <v>483</v>
      </c>
      <c r="F220" s="32" t="s">
        <v>464</v>
      </c>
      <c r="G220" s="39">
        <v>45992</v>
      </c>
      <c r="H220" s="39">
        <v>45993</v>
      </c>
      <c r="I220" s="32" t="s">
        <v>481</v>
      </c>
      <c r="J220" s="33"/>
      <c r="K220" s="32"/>
    </row>
    <row r="221" spans="1:11" ht="16.5">
      <c r="A221" s="32"/>
      <c r="B221" s="11"/>
      <c r="C221" s="11" t="str">
        <f>A221&amp;B221</f>
        <v/>
      </c>
      <c r="D221" s="32">
        <f>VLOOKUP($C221,Asignaturas!$C$5:$D$261,2,0)</f>
        <v>0</v>
      </c>
      <c r="E221" s="66" t="s">
        <v>484</v>
      </c>
      <c r="F221" s="32" t="s">
        <v>464</v>
      </c>
      <c r="G221" s="39">
        <v>45992</v>
      </c>
      <c r="H221" s="39">
        <v>45993</v>
      </c>
      <c r="I221" s="32" t="s">
        <v>481</v>
      </c>
      <c r="J221" s="33"/>
      <c r="K221" s="32"/>
    </row>
    <row r="222" spans="1:11" ht="16.5">
      <c r="A222" s="32"/>
      <c r="B222" s="11"/>
      <c r="C222" s="11" t="str">
        <f>A222&amp;B222</f>
        <v/>
      </c>
      <c r="D222" s="32">
        <f>VLOOKUP($C222,Asignaturas!$C$5:$D$261,2,0)</f>
        <v>0</v>
      </c>
      <c r="E222" s="66" t="s">
        <v>484</v>
      </c>
      <c r="F222" s="32" t="s">
        <v>464</v>
      </c>
      <c r="G222" s="39">
        <v>45992</v>
      </c>
      <c r="H222" s="39">
        <v>45993</v>
      </c>
      <c r="I222" s="32" t="s">
        <v>481</v>
      </c>
      <c r="J222" s="33"/>
      <c r="K222" s="32"/>
    </row>
    <row r="223" spans="1:11" ht="16.5">
      <c r="A223" s="32"/>
      <c r="B223" s="11"/>
      <c r="C223" s="11" t="str">
        <f>A223&amp;B223</f>
        <v/>
      </c>
      <c r="D223" s="32">
        <f>VLOOKUP($C223,Asignaturas!$C$5:$D$261,2,0)</f>
        <v>0</v>
      </c>
      <c r="E223" s="66" t="s">
        <v>485</v>
      </c>
      <c r="F223" s="32" t="s">
        <v>464</v>
      </c>
      <c r="G223" s="39">
        <v>45992</v>
      </c>
      <c r="H223" s="39">
        <v>45993</v>
      </c>
      <c r="I223" s="32" t="s">
        <v>481</v>
      </c>
      <c r="J223" s="33"/>
      <c r="K223" s="32"/>
    </row>
    <row r="224" spans="1:11" ht="16.5">
      <c r="A224" s="32"/>
      <c r="B224" s="11"/>
      <c r="C224" s="11" t="str">
        <f>A224&amp;B224</f>
        <v/>
      </c>
      <c r="D224" s="32">
        <f>VLOOKUP($C224,Asignaturas!$C$5:$D$261,2,0)</f>
        <v>0</v>
      </c>
      <c r="E224" s="66" t="s">
        <v>485</v>
      </c>
      <c r="F224" s="32" t="s">
        <v>464</v>
      </c>
      <c r="G224" s="39">
        <v>45992</v>
      </c>
      <c r="H224" s="39">
        <v>45993</v>
      </c>
      <c r="I224" s="32" t="s">
        <v>481</v>
      </c>
      <c r="J224" s="33"/>
      <c r="K224" s="32"/>
    </row>
    <row r="225" spans="1:11" ht="16.5">
      <c r="A225" s="32"/>
      <c r="B225" s="11"/>
      <c r="C225" s="11" t="str">
        <f>A225&amp;B225</f>
        <v/>
      </c>
      <c r="D225" s="32">
        <f>VLOOKUP($C225,Asignaturas!$C$5:$D$261,2,0)</f>
        <v>0</v>
      </c>
      <c r="E225" s="66" t="s">
        <v>487</v>
      </c>
      <c r="F225" s="32" t="s">
        <v>464</v>
      </c>
      <c r="G225" s="39">
        <v>45992</v>
      </c>
      <c r="H225" s="39">
        <v>45993</v>
      </c>
      <c r="I225" s="32" t="s">
        <v>481</v>
      </c>
      <c r="J225" s="33"/>
      <c r="K225" s="32"/>
    </row>
    <row r="226" spans="1:11" ht="16.5">
      <c r="A226" s="32"/>
      <c r="B226" s="11"/>
      <c r="C226" s="11" t="str">
        <f>A226&amp;B226</f>
        <v/>
      </c>
      <c r="D226" s="32">
        <f>VLOOKUP($C226,Asignaturas!$C$5:$D$261,2,0)</f>
        <v>0</v>
      </c>
      <c r="E226" s="66" t="s">
        <v>488</v>
      </c>
      <c r="F226" s="32" t="s">
        <v>464</v>
      </c>
      <c r="G226" s="39">
        <v>45992</v>
      </c>
      <c r="H226" s="39">
        <v>45993</v>
      </c>
      <c r="I226" s="32" t="s">
        <v>481</v>
      </c>
      <c r="J226" s="33"/>
      <c r="K226" s="32"/>
    </row>
    <row r="227" spans="1:11" ht="16.5">
      <c r="A227" s="32"/>
      <c r="B227" s="11"/>
      <c r="C227" s="11" t="str">
        <f>A227&amp;B227</f>
        <v/>
      </c>
      <c r="D227" s="32">
        <f>VLOOKUP($C227,Asignaturas!$C$5:$D$261,2,0)</f>
        <v>0</v>
      </c>
      <c r="E227" s="66" t="s">
        <v>483</v>
      </c>
      <c r="F227" s="32" t="s">
        <v>464</v>
      </c>
      <c r="G227" s="39">
        <v>45992</v>
      </c>
      <c r="H227" s="39">
        <v>45993</v>
      </c>
      <c r="I227" s="32" t="s">
        <v>481</v>
      </c>
      <c r="J227" s="33"/>
      <c r="K227" s="32"/>
    </row>
    <row r="228" spans="1:11" ht="16.5">
      <c r="A228" s="32"/>
      <c r="B228" s="11"/>
      <c r="C228" s="11" t="str">
        <f>A228&amp;B228</f>
        <v/>
      </c>
      <c r="D228" s="32">
        <f>VLOOKUP($C228,Asignaturas!$C$5:$D$261,2,0)</f>
        <v>0</v>
      </c>
      <c r="E228" s="66" t="s">
        <v>483</v>
      </c>
      <c r="F228" s="32" t="s">
        <v>464</v>
      </c>
      <c r="G228" s="43">
        <v>45992</v>
      </c>
      <c r="H228" s="43">
        <v>45993</v>
      </c>
      <c r="I228" s="32" t="s">
        <v>481</v>
      </c>
      <c r="J228" s="33"/>
      <c r="K228" s="32"/>
    </row>
    <row r="229" spans="1:11" ht="16.5">
      <c r="A229" s="32"/>
      <c r="B229" s="11"/>
      <c r="C229" s="11" t="str">
        <f>A229&amp;B229</f>
        <v/>
      </c>
      <c r="D229" s="32">
        <f>VLOOKUP($C229,Asignaturas!$C$5:$D$261,2,0)</f>
        <v>0</v>
      </c>
      <c r="E229" s="66" t="s">
        <v>484</v>
      </c>
      <c r="F229" s="32" t="s">
        <v>464</v>
      </c>
      <c r="G229" s="43">
        <v>45992</v>
      </c>
      <c r="H229" s="43">
        <v>45993</v>
      </c>
      <c r="I229" s="32" t="s">
        <v>481</v>
      </c>
      <c r="J229" s="33"/>
      <c r="K229" s="32"/>
    </row>
    <row r="230" spans="1:11" ht="16.5">
      <c r="A230" s="32"/>
      <c r="B230" s="11"/>
      <c r="C230" s="11" t="str">
        <f>A230&amp;B230</f>
        <v/>
      </c>
      <c r="D230" s="32">
        <f>VLOOKUP($C230,Asignaturas!$C$5:$D$261,2,0)</f>
        <v>0</v>
      </c>
      <c r="E230" s="66" t="s">
        <v>483</v>
      </c>
      <c r="F230" s="32" t="s">
        <v>464</v>
      </c>
      <c r="G230" s="43">
        <v>45993</v>
      </c>
      <c r="H230" s="43">
        <v>45994</v>
      </c>
      <c r="I230" s="32" t="s">
        <v>481</v>
      </c>
      <c r="J230" s="33"/>
      <c r="K230" s="32"/>
    </row>
    <row r="231" spans="1:11" ht="16.5">
      <c r="A231" s="32"/>
      <c r="B231" s="11"/>
      <c r="C231" s="11" t="str">
        <f>A231&amp;B231</f>
        <v/>
      </c>
      <c r="D231" s="32">
        <f>VLOOKUP($C231,Asignaturas!$C$5:$D$261,2,0)</f>
        <v>0</v>
      </c>
      <c r="E231" s="66" t="s">
        <v>484</v>
      </c>
      <c r="F231" s="32" t="s">
        <v>464</v>
      </c>
      <c r="G231" s="43">
        <v>45993</v>
      </c>
      <c r="H231" s="43">
        <v>45994</v>
      </c>
      <c r="I231" s="32" t="s">
        <v>481</v>
      </c>
      <c r="J231" s="33"/>
      <c r="K231" s="32"/>
    </row>
    <row r="232" spans="1:11" ht="16.5">
      <c r="A232" s="32"/>
      <c r="B232" s="11"/>
      <c r="C232" s="11" t="str">
        <f>A232&amp;B232</f>
        <v/>
      </c>
      <c r="D232" s="32">
        <f>VLOOKUP($C232,Asignaturas!$C$5:$D$261,2,0)</f>
        <v>0</v>
      </c>
      <c r="E232" s="66" t="s">
        <v>484</v>
      </c>
      <c r="F232" s="32" t="s">
        <v>464</v>
      </c>
      <c r="G232" s="43">
        <v>45993</v>
      </c>
      <c r="H232" s="43">
        <v>45994</v>
      </c>
      <c r="I232" s="32" t="s">
        <v>481</v>
      </c>
      <c r="J232" s="33"/>
      <c r="K232" s="32"/>
    </row>
    <row r="233" spans="1:11" ht="16.5">
      <c r="A233" s="32"/>
      <c r="B233" s="11"/>
      <c r="C233" s="11" t="str">
        <f>A233&amp;B233</f>
        <v/>
      </c>
      <c r="D233" s="32">
        <f>VLOOKUP($C233,Asignaturas!$C$5:$D$261,2,0)</f>
        <v>0</v>
      </c>
      <c r="E233" s="32" t="s">
        <v>484</v>
      </c>
      <c r="F233" s="32" t="s">
        <v>471</v>
      </c>
      <c r="G233" s="39">
        <v>45993</v>
      </c>
      <c r="H233" s="39">
        <v>45994</v>
      </c>
      <c r="I233" s="32" t="s">
        <v>482</v>
      </c>
      <c r="J233" s="33"/>
      <c r="K233" s="32"/>
    </row>
    <row r="234" spans="1:11" ht="16.5">
      <c r="A234" s="32"/>
      <c r="B234" s="11"/>
      <c r="C234" s="11" t="str">
        <f>A234&amp;B234</f>
        <v/>
      </c>
      <c r="D234" s="32">
        <f>VLOOKUP($C234,Asignaturas!$C$5:$D$261,2,0)</f>
        <v>0</v>
      </c>
      <c r="E234" s="32" t="s">
        <v>489</v>
      </c>
      <c r="F234" s="32" t="s">
        <v>471</v>
      </c>
      <c r="G234" s="39">
        <v>45993</v>
      </c>
      <c r="H234" s="39">
        <v>45994</v>
      </c>
      <c r="I234" s="32" t="s">
        <v>482</v>
      </c>
      <c r="J234" s="33"/>
      <c r="K234" s="32"/>
    </row>
    <row r="235" spans="1:11" ht="16.5">
      <c r="A235" s="32"/>
      <c r="B235" s="11"/>
      <c r="C235" s="11" t="s">
        <v>490</v>
      </c>
      <c r="D235" s="33" t="s">
        <v>81</v>
      </c>
      <c r="E235" s="32" t="s">
        <v>491</v>
      </c>
      <c r="F235" s="32" t="s">
        <v>464</v>
      </c>
      <c r="G235" s="39">
        <v>45994</v>
      </c>
      <c r="H235" s="39">
        <v>45995</v>
      </c>
      <c r="I235" s="32" t="s">
        <v>481</v>
      </c>
      <c r="J235" s="33"/>
      <c r="K235" s="32"/>
    </row>
    <row r="236" spans="1:11" ht="16.5">
      <c r="A236" s="32"/>
      <c r="B236" s="11"/>
      <c r="C236" s="11" t="s">
        <v>492</v>
      </c>
      <c r="D236" s="33" t="s">
        <v>33</v>
      </c>
      <c r="E236" s="32" t="s">
        <v>483</v>
      </c>
      <c r="F236" s="32" t="s">
        <v>464</v>
      </c>
      <c r="G236" s="39">
        <v>45994</v>
      </c>
      <c r="H236" s="39">
        <v>45995</v>
      </c>
      <c r="I236" s="32" t="s">
        <v>481</v>
      </c>
      <c r="J236" s="33"/>
      <c r="K236" s="32"/>
    </row>
    <row r="237" spans="1:11" ht="16.5">
      <c r="A237" s="32"/>
      <c r="B237" s="11"/>
      <c r="C237" s="11" t="s">
        <v>493</v>
      </c>
      <c r="D237" s="33" t="s">
        <v>160</v>
      </c>
      <c r="E237" s="32" t="s">
        <v>488</v>
      </c>
      <c r="F237" s="32" t="s">
        <v>464</v>
      </c>
      <c r="G237" s="39">
        <v>45994</v>
      </c>
      <c r="H237" s="39">
        <v>45995</v>
      </c>
      <c r="I237" s="32" t="s">
        <v>481</v>
      </c>
      <c r="J237" s="33"/>
      <c r="K237" s="32"/>
    </row>
    <row r="238" spans="1:11" ht="16.5">
      <c r="A238" s="32"/>
      <c r="B238" s="11"/>
      <c r="C238" s="11" t="s">
        <v>494</v>
      </c>
      <c r="D238" s="33" t="s">
        <v>157</v>
      </c>
      <c r="E238" s="32" t="s">
        <v>483</v>
      </c>
      <c r="F238" s="32" t="s">
        <v>464</v>
      </c>
      <c r="G238" s="39">
        <v>45994</v>
      </c>
      <c r="H238" s="39">
        <v>45995</v>
      </c>
      <c r="I238" s="32" t="s">
        <v>481</v>
      </c>
      <c r="J238" s="33"/>
      <c r="K238" s="32"/>
    </row>
    <row r="239" spans="1:11" ht="16.5">
      <c r="A239" s="32"/>
      <c r="B239" s="11"/>
      <c r="C239" s="11" t="s">
        <v>495</v>
      </c>
      <c r="D239" s="33" t="s">
        <v>496</v>
      </c>
      <c r="E239" s="66" t="s">
        <v>491</v>
      </c>
      <c r="F239" s="32" t="s">
        <v>464</v>
      </c>
      <c r="G239" s="39">
        <v>45994</v>
      </c>
      <c r="H239" s="39">
        <v>45995</v>
      </c>
      <c r="I239" s="32" t="s">
        <v>481</v>
      </c>
      <c r="J239" s="33"/>
      <c r="K239" s="32"/>
    </row>
    <row r="240" spans="1:11" ht="16.5">
      <c r="A240" s="32"/>
      <c r="B240" s="11"/>
      <c r="C240" s="11" t="s">
        <v>493</v>
      </c>
      <c r="D240" s="33" t="s">
        <v>160</v>
      </c>
      <c r="E240" s="66" t="s">
        <v>497</v>
      </c>
      <c r="F240" s="32" t="s">
        <v>464</v>
      </c>
      <c r="G240" s="39">
        <v>45994</v>
      </c>
      <c r="H240" s="39">
        <v>45995</v>
      </c>
      <c r="I240" s="32" t="s">
        <v>481</v>
      </c>
      <c r="J240" s="33"/>
      <c r="K240" s="32"/>
    </row>
    <row r="241" spans="1:11" ht="16.5">
      <c r="A241" s="32"/>
      <c r="B241" s="11"/>
      <c r="C241" s="11" t="s">
        <v>498</v>
      </c>
      <c r="D241" s="33" t="s">
        <v>499</v>
      </c>
      <c r="E241" s="66" t="s">
        <v>484</v>
      </c>
      <c r="F241" s="32" t="s">
        <v>464</v>
      </c>
      <c r="G241" s="39">
        <v>45994</v>
      </c>
      <c r="H241" s="39">
        <v>45995</v>
      </c>
      <c r="I241" s="32" t="s">
        <v>481</v>
      </c>
      <c r="J241" s="33"/>
      <c r="K241" s="32"/>
    </row>
    <row r="242" spans="1:11" ht="16.5">
      <c r="A242" s="32"/>
      <c r="B242" s="11"/>
      <c r="C242" s="11" t="s">
        <v>498</v>
      </c>
      <c r="D242" s="33" t="s">
        <v>499</v>
      </c>
      <c r="E242" s="66" t="s">
        <v>483</v>
      </c>
      <c r="F242" s="32" t="s">
        <v>464</v>
      </c>
      <c r="G242" s="39">
        <v>45994</v>
      </c>
      <c r="H242" s="39">
        <v>45995</v>
      </c>
      <c r="I242" s="32" t="s">
        <v>481</v>
      </c>
      <c r="J242" s="33"/>
      <c r="K242" s="32"/>
    </row>
    <row r="243" spans="1:11" ht="16.5">
      <c r="A243" s="32"/>
      <c r="B243" s="11"/>
      <c r="C243" s="11" t="s">
        <v>500</v>
      </c>
      <c r="D243" s="33" t="s">
        <v>288</v>
      </c>
      <c r="E243" s="66" t="s">
        <v>484</v>
      </c>
      <c r="F243" s="32" t="s">
        <v>464</v>
      </c>
      <c r="G243" s="39">
        <v>45994</v>
      </c>
      <c r="H243" s="39">
        <v>45995</v>
      </c>
      <c r="I243" s="32" t="s">
        <v>481</v>
      </c>
      <c r="J243" s="33"/>
      <c r="K243" s="32"/>
    </row>
    <row r="244" spans="1:11" ht="16.5">
      <c r="A244" s="32"/>
      <c r="B244" s="11"/>
      <c r="C244" s="11" t="s">
        <v>501</v>
      </c>
      <c r="D244" s="33" t="s">
        <v>288</v>
      </c>
      <c r="E244" s="66" t="s">
        <v>484</v>
      </c>
      <c r="F244" s="32" t="s">
        <v>464</v>
      </c>
      <c r="G244" s="39">
        <v>45994</v>
      </c>
      <c r="H244" s="39">
        <v>45995</v>
      </c>
      <c r="I244" s="32" t="s">
        <v>481</v>
      </c>
      <c r="J244" s="33"/>
      <c r="K244" s="32"/>
    </row>
    <row r="245" spans="1:11" ht="30">
      <c r="A245" s="32"/>
      <c r="B245" s="11"/>
      <c r="C245" s="11" t="s">
        <v>502</v>
      </c>
      <c r="D245" s="33" t="s">
        <v>503</v>
      </c>
      <c r="E245" s="66" t="s">
        <v>484</v>
      </c>
      <c r="F245" s="32" t="s">
        <v>471</v>
      </c>
      <c r="G245" s="39">
        <v>45994</v>
      </c>
      <c r="H245" s="39">
        <v>45995</v>
      </c>
      <c r="I245" s="32" t="s">
        <v>482</v>
      </c>
      <c r="J245" s="33"/>
      <c r="K245" s="32"/>
    </row>
    <row r="246" spans="1:11" ht="16.5">
      <c r="A246" s="32"/>
      <c r="B246" s="11"/>
      <c r="C246" s="11" t="s">
        <v>504</v>
      </c>
      <c r="D246" s="33" t="s">
        <v>422</v>
      </c>
      <c r="E246" s="66" t="s">
        <v>485</v>
      </c>
      <c r="F246" s="32" t="s">
        <v>464</v>
      </c>
      <c r="G246" s="39">
        <v>45995</v>
      </c>
      <c r="H246" s="39">
        <v>45996</v>
      </c>
      <c r="I246" s="32" t="s">
        <v>481</v>
      </c>
      <c r="J246" s="33"/>
      <c r="K246" s="32"/>
    </row>
    <row r="247" spans="1:11" ht="16.5">
      <c r="A247" s="32"/>
      <c r="B247" s="11"/>
      <c r="C247" s="11" t="s">
        <v>504</v>
      </c>
      <c r="D247" s="33" t="s">
        <v>422</v>
      </c>
      <c r="E247" s="66" t="s">
        <v>487</v>
      </c>
      <c r="F247" s="32" t="s">
        <v>464</v>
      </c>
      <c r="G247" s="39">
        <v>45995</v>
      </c>
      <c r="H247" s="39">
        <v>45996</v>
      </c>
      <c r="I247" s="32" t="s">
        <v>481</v>
      </c>
      <c r="J247" s="33"/>
      <c r="K247" s="32"/>
    </row>
    <row r="248" spans="1:11" ht="30">
      <c r="A248" s="32"/>
      <c r="B248" s="11"/>
      <c r="C248" s="11" t="s">
        <v>505</v>
      </c>
      <c r="D248" s="33" t="s">
        <v>506</v>
      </c>
      <c r="E248" s="66" t="s">
        <v>491</v>
      </c>
      <c r="F248" s="32" t="s">
        <v>464</v>
      </c>
      <c r="G248" s="39">
        <v>45995</v>
      </c>
      <c r="H248" s="39">
        <v>45996</v>
      </c>
      <c r="I248" s="32" t="s">
        <v>481</v>
      </c>
      <c r="J248" s="33"/>
      <c r="K248" s="32"/>
    </row>
    <row r="249" spans="1:11" ht="30">
      <c r="A249" s="32"/>
      <c r="B249" s="11"/>
      <c r="C249" s="11" t="s">
        <v>507</v>
      </c>
      <c r="D249" s="33" t="s">
        <v>506</v>
      </c>
      <c r="E249" s="66" t="s">
        <v>491</v>
      </c>
      <c r="F249" s="32" t="s">
        <v>464</v>
      </c>
      <c r="G249" s="39">
        <v>45995</v>
      </c>
      <c r="H249" s="39">
        <v>45996</v>
      </c>
      <c r="I249" s="32" t="s">
        <v>481</v>
      </c>
      <c r="J249" s="33"/>
      <c r="K249" s="32"/>
    </row>
    <row r="250" spans="1:11" ht="16.5">
      <c r="A250" s="32"/>
      <c r="B250" s="11"/>
      <c r="C250" s="11" t="s">
        <v>508</v>
      </c>
      <c r="D250" s="33" t="s">
        <v>142</v>
      </c>
      <c r="E250" s="66" t="s">
        <v>491</v>
      </c>
      <c r="F250" s="32" t="s">
        <v>464</v>
      </c>
      <c r="G250" s="39">
        <v>45995</v>
      </c>
      <c r="H250" s="39">
        <v>45996</v>
      </c>
      <c r="I250" s="32" t="s">
        <v>481</v>
      </c>
      <c r="J250" s="33"/>
      <c r="K250" s="38"/>
    </row>
    <row r="251" spans="1:11" ht="16.5">
      <c r="A251" s="32"/>
      <c r="B251" s="11"/>
      <c r="C251" s="11" t="s">
        <v>509</v>
      </c>
      <c r="D251" s="33" t="s">
        <v>142</v>
      </c>
      <c r="E251" s="66" t="s">
        <v>491</v>
      </c>
      <c r="F251" s="32" t="s">
        <v>464</v>
      </c>
      <c r="G251" s="39">
        <v>45995</v>
      </c>
      <c r="H251" s="39">
        <v>45996</v>
      </c>
      <c r="I251" s="32" t="s">
        <v>481</v>
      </c>
      <c r="J251" s="33"/>
      <c r="K251" s="38"/>
    </row>
    <row r="252" spans="1:11" ht="16.5">
      <c r="A252" s="32"/>
      <c r="B252" s="11"/>
      <c r="C252" s="11" t="s">
        <v>510</v>
      </c>
      <c r="D252" s="33" t="s">
        <v>227</v>
      </c>
      <c r="E252" s="66" t="s">
        <v>483</v>
      </c>
      <c r="F252" s="32" t="s">
        <v>471</v>
      </c>
      <c r="G252" s="39">
        <v>45995</v>
      </c>
      <c r="H252" s="39">
        <v>45996</v>
      </c>
      <c r="I252" s="32" t="s">
        <v>482</v>
      </c>
      <c r="J252" s="33"/>
      <c r="K252" s="38"/>
    </row>
    <row r="253" spans="1:11" ht="16.5">
      <c r="A253" s="32"/>
      <c r="B253" s="11"/>
      <c r="C253" s="11" t="s">
        <v>510</v>
      </c>
      <c r="D253" s="33" t="s">
        <v>227</v>
      </c>
      <c r="E253" s="66" t="s">
        <v>484</v>
      </c>
      <c r="F253" s="32" t="s">
        <v>471</v>
      </c>
      <c r="G253" s="39">
        <v>45995</v>
      </c>
      <c r="H253" s="39">
        <v>45996</v>
      </c>
      <c r="I253" s="32" t="s">
        <v>482</v>
      </c>
      <c r="J253" s="33"/>
      <c r="K253" s="38"/>
    </row>
    <row r="254" spans="1:11" ht="16.5">
      <c r="A254" s="32"/>
      <c r="B254" s="11"/>
      <c r="C254" s="11" t="s">
        <v>510</v>
      </c>
      <c r="D254" s="33" t="s">
        <v>227</v>
      </c>
      <c r="E254" s="66" t="s">
        <v>511</v>
      </c>
      <c r="F254" s="32" t="s">
        <v>471</v>
      </c>
      <c r="G254" s="39">
        <v>45995</v>
      </c>
      <c r="H254" s="39">
        <v>45996</v>
      </c>
      <c r="I254" s="32" t="s">
        <v>482</v>
      </c>
      <c r="J254" s="33"/>
      <c r="K254" s="38"/>
    </row>
    <row r="255" spans="1:11" ht="30">
      <c r="A255" s="32"/>
      <c r="B255" s="11"/>
      <c r="C255" s="11" t="s">
        <v>512</v>
      </c>
      <c r="D255" s="33" t="s">
        <v>513</v>
      </c>
      <c r="E255" s="66" t="s">
        <v>514</v>
      </c>
      <c r="F255" s="32" t="s">
        <v>464</v>
      </c>
      <c r="G255" s="39">
        <v>45965</v>
      </c>
      <c r="H255" s="39">
        <v>45966</v>
      </c>
      <c r="I255" s="32" t="s">
        <v>481</v>
      </c>
      <c r="J255" s="33"/>
      <c r="K255" s="38"/>
    </row>
    <row r="256" spans="1:11" ht="16.5">
      <c r="A256" s="32"/>
      <c r="B256" s="11"/>
      <c r="C256" s="11" t="s">
        <v>515</v>
      </c>
      <c r="D256" s="33" t="s">
        <v>240</v>
      </c>
      <c r="E256" s="66" t="s">
        <v>491</v>
      </c>
      <c r="F256" s="32" t="s">
        <v>471</v>
      </c>
      <c r="G256" s="39">
        <v>45995</v>
      </c>
      <c r="H256" s="39">
        <v>45996</v>
      </c>
      <c r="I256" s="32" t="s">
        <v>482</v>
      </c>
      <c r="J256" s="33"/>
      <c r="K256" s="38"/>
    </row>
    <row r="257" spans="1:11" ht="16.5">
      <c r="A257" s="32"/>
      <c r="B257" s="11"/>
      <c r="C257" s="11" t="s">
        <v>516</v>
      </c>
      <c r="D257" s="33" t="s">
        <v>393</v>
      </c>
      <c r="E257" s="66" t="s">
        <v>485</v>
      </c>
      <c r="F257" s="32" t="s">
        <v>471</v>
      </c>
      <c r="G257" s="39">
        <v>45995</v>
      </c>
      <c r="H257" s="39">
        <v>45996</v>
      </c>
      <c r="I257" s="32" t="s">
        <v>482</v>
      </c>
      <c r="J257" s="33"/>
      <c r="K257" s="38"/>
    </row>
    <row r="258" spans="1:11" ht="16.5">
      <c r="A258" s="32"/>
      <c r="B258" s="11"/>
      <c r="C258" s="11" t="s">
        <v>517</v>
      </c>
      <c r="D258" s="33" t="s">
        <v>518</v>
      </c>
      <c r="E258" s="66" t="s">
        <v>491</v>
      </c>
      <c r="F258" s="32" t="s">
        <v>464</v>
      </c>
      <c r="G258" s="39">
        <v>45996</v>
      </c>
      <c r="H258" s="39">
        <v>45997</v>
      </c>
      <c r="I258" s="32" t="s">
        <v>481</v>
      </c>
      <c r="J258" s="33"/>
      <c r="K258" s="38"/>
    </row>
    <row r="259" spans="1:11" ht="16.5">
      <c r="A259" s="32"/>
      <c r="B259" s="11"/>
      <c r="C259" s="11" t="s">
        <v>519</v>
      </c>
      <c r="D259" s="33" t="s">
        <v>518</v>
      </c>
      <c r="E259" s="66" t="s">
        <v>491</v>
      </c>
      <c r="F259" s="32" t="s">
        <v>464</v>
      </c>
      <c r="G259" s="39">
        <v>45996</v>
      </c>
      <c r="H259" s="39">
        <v>45997</v>
      </c>
      <c r="I259" s="32" t="s">
        <v>481</v>
      </c>
      <c r="J259" s="33"/>
      <c r="K259" s="38"/>
    </row>
    <row r="260" spans="1:11" ht="30">
      <c r="A260" s="32"/>
      <c r="B260" s="11"/>
      <c r="C260" s="11" t="s">
        <v>520</v>
      </c>
      <c r="D260" s="33" t="s">
        <v>521</v>
      </c>
      <c r="E260" s="66" t="s">
        <v>491</v>
      </c>
      <c r="F260" s="32" t="s">
        <v>464</v>
      </c>
      <c r="G260" s="39">
        <v>45996</v>
      </c>
      <c r="H260" s="39">
        <v>45997</v>
      </c>
      <c r="I260" s="32" t="s">
        <v>481</v>
      </c>
      <c r="J260" s="33"/>
      <c r="K260" s="38"/>
    </row>
    <row r="261" spans="1:11" ht="16.5">
      <c r="A261" s="32"/>
      <c r="B261" s="11"/>
      <c r="C261" s="11" t="s">
        <v>522</v>
      </c>
      <c r="D261" s="33" t="s">
        <v>523</v>
      </c>
      <c r="E261" s="66" t="s">
        <v>483</v>
      </c>
      <c r="F261" s="32" t="s">
        <v>464</v>
      </c>
      <c r="G261" s="39">
        <v>45996</v>
      </c>
      <c r="H261" s="39">
        <v>45997</v>
      </c>
      <c r="I261" s="32" t="s">
        <v>481</v>
      </c>
      <c r="J261" s="33"/>
      <c r="K261" s="38"/>
    </row>
    <row r="262" spans="1:11" ht="16.5">
      <c r="A262" s="32"/>
      <c r="B262" s="11"/>
      <c r="C262" s="11" t="s">
        <v>524</v>
      </c>
      <c r="D262" s="33" t="s">
        <v>525</v>
      </c>
      <c r="E262" s="66" t="s">
        <v>483</v>
      </c>
      <c r="F262" s="32" t="s">
        <v>464</v>
      </c>
      <c r="G262" s="39">
        <v>45996</v>
      </c>
      <c r="H262" s="39">
        <v>45997</v>
      </c>
      <c r="I262" s="32" t="s">
        <v>481</v>
      </c>
      <c r="J262" s="33"/>
      <c r="K262" s="38"/>
    </row>
    <row r="263" spans="1:11" ht="16.5">
      <c r="A263" s="32"/>
      <c r="B263" s="11"/>
      <c r="C263" s="11" t="s">
        <v>526</v>
      </c>
      <c r="D263" s="33" t="s">
        <v>525</v>
      </c>
      <c r="E263" s="66" t="s">
        <v>483</v>
      </c>
      <c r="F263" s="32" t="s">
        <v>464</v>
      </c>
      <c r="G263" s="39">
        <v>45996</v>
      </c>
      <c r="H263" s="39">
        <v>45997</v>
      </c>
      <c r="I263" s="32" t="s">
        <v>481</v>
      </c>
      <c r="J263" s="33"/>
      <c r="K263" s="38" t="s">
        <v>527</v>
      </c>
    </row>
    <row r="264" spans="1:11" ht="16.5">
      <c r="A264" s="32"/>
      <c r="B264" s="11"/>
      <c r="C264" s="11" t="s">
        <v>528</v>
      </c>
      <c r="D264" s="33" t="s">
        <v>529</v>
      </c>
      <c r="E264" s="32" t="s">
        <v>491</v>
      </c>
      <c r="F264" s="32" t="s">
        <v>464</v>
      </c>
      <c r="G264" s="39">
        <v>45996</v>
      </c>
      <c r="H264" s="39">
        <v>45997</v>
      </c>
      <c r="I264" s="32" t="s">
        <v>481</v>
      </c>
      <c r="J264" s="33"/>
      <c r="K264" s="38"/>
    </row>
    <row r="265" spans="1:11" ht="16.5">
      <c r="A265" s="32"/>
      <c r="B265" s="11"/>
      <c r="C265" s="11" t="str">
        <f>A265&amp;B265</f>
        <v/>
      </c>
      <c r="D265" s="32">
        <f>VLOOKUP($C265,Asignaturas!$C$5:$D$261,2,0)</f>
        <v>0</v>
      </c>
      <c r="E265" s="66" t="s">
        <v>491</v>
      </c>
      <c r="F265" s="32" t="s">
        <v>464</v>
      </c>
      <c r="G265" s="39">
        <v>45996</v>
      </c>
      <c r="H265" s="39">
        <v>45997</v>
      </c>
      <c r="I265" s="32" t="s">
        <v>481</v>
      </c>
      <c r="J265" s="33"/>
      <c r="K265" s="38"/>
    </row>
    <row r="266" spans="1:11" ht="16.5">
      <c r="A266" s="32"/>
      <c r="B266" s="11"/>
      <c r="C266" s="11" t="str">
        <f>A266&amp;B266</f>
        <v/>
      </c>
      <c r="D266" s="32">
        <f>VLOOKUP($C266,Asignaturas!$C$5:$D$261,2,0)</f>
        <v>0</v>
      </c>
      <c r="E266" s="66" t="s">
        <v>491</v>
      </c>
      <c r="F266" s="32" t="s">
        <v>464</v>
      </c>
      <c r="G266" s="39">
        <v>45996</v>
      </c>
      <c r="H266" s="39">
        <v>45997</v>
      </c>
      <c r="I266" s="32" t="s">
        <v>481</v>
      </c>
      <c r="J266" s="33"/>
      <c r="K266" s="38"/>
    </row>
    <row r="267" spans="1:11" ht="16.5">
      <c r="A267" s="32"/>
      <c r="B267" s="11"/>
      <c r="C267" s="11" t="str">
        <f>A267&amp;B267</f>
        <v/>
      </c>
      <c r="D267" s="32">
        <f>VLOOKUP($C267,Asignaturas!$C$5:$D$261,2,0)</f>
        <v>0</v>
      </c>
      <c r="E267" s="66" t="s">
        <v>491</v>
      </c>
      <c r="F267" s="32" t="s">
        <v>471</v>
      </c>
      <c r="G267" s="39">
        <v>45996</v>
      </c>
      <c r="H267" s="39">
        <v>45997</v>
      </c>
      <c r="I267" s="32" t="s">
        <v>482</v>
      </c>
      <c r="J267" s="33"/>
      <c r="K267" s="38"/>
    </row>
    <row r="268" spans="1:11" ht="16.5">
      <c r="A268" s="32"/>
      <c r="B268" s="11"/>
      <c r="C268" s="11" t="str">
        <f>A268&amp;B268</f>
        <v/>
      </c>
      <c r="D268" s="32">
        <f>VLOOKUP($C268,Asignaturas!$C$5:$D$261,2,0)</f>
        <v>0</v>
      </c>
      <c r="E268" s="66" t="s">
        <v>491</v>
      </c>
      <c r="F268" s="32" t="s">
        <v>471</v>
      </c>
      <c r="G268" s="39">
        <v>45996</v>
      </c>
      <c r="H268" s="39">
        <v>45997</v>
      </c>
      <c r="I268" s="32" t="s">
        <v>482</v>
      </c>
      <c r="J268" s="33"/>
      <c r="K268" s="38"/>
    </row>
    <row r="269" spans="1:11" ht="16.5">
      <c r="A269" s="32"/>
      <c r="B269" s="11"/>
      <c r="C269" s="11" t="str">
        <f>A269&amp;B269</f>
        <v/>
      </c>
      <c r="D269" s="32">
        <f>VLOOKUP($C269,Asignaturas!$C$5:$D$261,2,0)</f>
        <v>0</v>
      </c>
      <c r="E269" s="66" t="s">
        <v>491</v>
      </c>
      <c r="F269" s="32" t="s">
        <v>471</v>
      </c>
      <c r="G269" s="39">
        <v>45996</v>
      </c>
      <c r="H269" s="39">
        <v>45997</v>
      </c>
      <c r="I269" s="32" t="s">
        <v>482</v>
      </c>
      <c r="J269" s="33"/>
      <c r="K269" s="38"/>
    </row>
    <row r="270" spans="1:11" ht="16.5">
      <c r="A270" s="32"/>
      <c r="B270" s="11"/>
      <c r="C270" s="11" t="str">
        <f>A270&amp;B270</f>
        <v/>
      </c>
      <c r="D270" s="32">
        <f>VLOOKUP($C270,Asignaturas!$C$5:$D$261,2,0)</f>
        <v>0</v>
      </c>
      <c r="E270" s="66" t="s">
        <v>491</v>
      </c>
      <c r="F270" s="32" t="s">
        <v>471</v>
      </c>
      <c r="G270" s="39">
        <v>45996</v>
      </c>
      <c r="H270" s="39">
        <v>45997</v>
      </c>
      <c r="I270" s="32" t="s">
        <v>482</v>
      </c>
      <c r="J270" s="33"/>
      <c r="K270" s="38"/>
    </row>
    <row r="271" spans="1:11" ht="16.5">
      <c r="A271" s="32"/>
      <c r="B271" s="11"/>
      <c r="C271" s="11" t="str">
        <f>A271&amp;B271</f>
        <v/>
      </c>
      <c r="D271" s="32">
        <f>VLOOKUP($C271,Asignaturas!$C$5:$D$261,2,0)</f>
        <v>0</v>
      </c>
      <c r="E271" s="66" t="s">
        <v>491</v>
      </c>
      <c r="F271" s="32" t="s">
        <v>471</v>
      </c>
      <c r="G271" s="39">
        <v>45996</v>
      </c>
      <c r="H271" s="39">
        <v>45997</v>
      </c>
      <c r="I271" s="32" t="s">
        <v>482</v>
      </c>
      <c r="J271" s="33"/>
      <c r="K271" s="38"/>
    </row>
    <row r="272" spans="1:11" ht="16.5">
      <c r="A272" s="32"/>
      <c r="B272" s="11"/>
      <c r="C272" s="11" t="str">
        <f>A272&amp;B272</f>
        <v/>
      </c>
      <c r="D272" s="32">
        <f>VLOOKUP($C272,Asignaturas!$C$5:$D$261,2,0)</f>
        <v>0</v>
      </c>
      <c r="E272" s="66" t="s">
        <v>491</v>
      </c>
      <c r="F272" s="42" t="s">
        <v>471</v>
      </c>
      <c r="G272" s="43">
        <v>45996</v>
      </c>
      <c r="H272" s="43">
        <v>46001</v>
      </c>
      <c r="I272" s="42" t="s">
        <v>481</v>
      </c>
      <c r="J272" s="33"/>
      <c r="K272" s="38"/>
    </row>
    <row r="273" spans="1:11" ht="16.5">
      <c r="A273" s="32"/>
      <c r="B273" s="11"/>
      <c r="C273" s="11" t="str">
        <f>A273&amp;B273</f>
        <v/>
      </c>
      <c r="D273" s="32">
        <f>VLOOKUP($C273,Asignaturas!$C$5:$D$261,2,0)</f>
        <v>0</v>
      </c>
      <c r="E273" s="66" t="s">
        <v>491</v>
      </c>
      <c r="F273" s="32" t="s">
        <v>471</v>
      </c>
      <c r="G273" s="39">
        <v>45996</v>
      </c>
      <c r="H273" s="39">
        <v>46001</v>
      </c>
      <c r="I273" s="32" t="s">
        <v>481</v>
      </c>
      <c r="J273" s="33"/>
      <c r="K273" s="38"/>
    </row>
    <row r="274" spans="1:11" ht="16.5">
      <c r="A274" s="32"/>
      <c r="B274" s="11"/>
      <c r="C274" s="11" t="str">
        <f>A274&amp;B274</f>
        <v/>
      </c>
      <c r="D274" s="32">
        <f>VLOOKUP($C274,Asignaturas!$C$5:$D$261,2,0)</f>
        <v>0</v>
      </c>
      <c r="E274" s="66" t="s">
        <v>491</v>
      </c>
      <c r="F274" s="32" t="s">
        <v>471</v>
      </c>
      <c r="G274" s="39">
        <v>45996</v>
      </c>
      <c r="H274" s="39">
        <v>46001</v>
      </c>
      <c r="I274" s="32" t="s">
        <v>481</v>
      </c>
      <c r="J274" s="33"/>
      <c r="K274" s="38"/>
    </row>
    <row r="275" spans="1:11" ht="16.5">
      <c r="A275" s="32"/>
      <c r="B275" s="11"/>
      <c r="C275" s="11" t="str">
        <f>A275&amp;B275</f>
        <v/>
      </c>
      <c r="D275" s="32">
        <f>VLOOKUP($C275,Asignaturas!$C$5:$D$261,2,0)</f>
        <v>0</v>
      </c>
      <c r="E275" s="66" t="s">
        <v>491</v>
      </c>
      <c r="F275" s="32" t="s">
        <v>471</v>
      </c>
      <c r="G275" s="39">
        <v>45996</v>
      </c>
      <c r="H275" s="39">
        <v>46001</v>
      </c>
      <c r="I275" s="32" t="s">
        <v>481</v>
      </c>
      <c r="J275" s="33"/>
      <c r="K275" s="38"/>
    </row>
    <row r="276" spans="1:11" ht="16.5">
      <c r="A276" s="32"/>
      <c r="B276" s="11"/>
      <c r="C276" s="11" t="str">
        <f>A276&amp;B276</f>
        <v/>
      </c>
      <c r="D276" s="32">
        <f>VLOOKUP($C276,Asignaturas!$C$5:$D$261,2,0)</f>
        <v>0</v>
      </c>
      <c r="E276" s="66" t="s">
        <v>491</v>
      </c>
      <c r="F276" s="32" t="s">
        <v>464</v>
      </c>
      <c r="G276" s="39">
        <v>45997</v>
      </c>
      <c r="H276" s="39">
        <v>46001</v>
      </c>
      <c r="I276" s="32" t="s">
        <v>481</v>
      </c>
      <c r="J276" s="33"/>
      <c r="K276" s="38"/>
    </row>
    <row r="277" spans="1:11" ht="16.5">
      <c r="A277" s="32"/>
      <c r="B277" s="11"/>
      <c r="C277" s="11" t="str">
        <f>A277&amp;B277</f>
        <v/>
      </c>
      <c r="D277" s="32">
        <f>VLOOKUP($C277,Asignaturas!$C$5:$D$261,2,0)</f>
        <v>0</v>
      </c>
      <c r="E277" s="66" t="s">
        <v>491</v>
      </c>
      <c r="F277" s="32" t="s">
        <v>464</v>
      </c>
      <c r="G277" s="39">
        <v>45997</v>
      </c>
      <c r="H277" s="39">
        <v>46001</v>
      </c>
      <c r="I277" s="32" t="s">
        <v>481</v>
      </c>
      <c r="J277" s="33"/>
      <c r="K277" s="38"/>
    </row>
    <row r="278" spans="1:11" ht="16.5">
      <c r="A278" s="32"/>
      <c r="B278" s="11"/>
      <c r="C278" s="11" t="str">
        <f>A278&amp;B278</f>
        <v/>
      </c>
      <c r="D278" s="32">
        <f>VLOOKUP($C278,Asignaturas!$C$5:$D$261,2,0)</f>
        <v>0</v>
      </c>
      <c r="E278" s="66" t="s">
        <v>491</v>
      </c>
      <c r="F278" s="32" t="s">
        <v>464</v>
      </c>
      <c r="G278" s="39">
        <v>45997</v>
      </c>
      <c r="H278" s="39">
        <v>46001</v>
      </c>
      <c r="I278" s="32" t="s">
        <v>481</v>
      </c>
      <c r="J278" s="33"/>
      <c r="K278" s="38"/>
    </row>
    <row r="279" spans="1:11" ht="16.5">
      <c r="A279" s="32"/>
      <c r="B279" s="11"/>
      <c r="C279" s="11" t="str">
        <f>A279&amp;B279</f>
        <v/>
      </c>
      <c r="D279" s="32">
        <f>VLOOKUP($C279,Asignaturas!$C$5:$D$261,2,0)</f>
        <v>0</v>
      </c>
      <c r="E279" s="66" t="s">
        <v>491</v>
      </c>
      <c r="F279" s="32" t="s">
        <v>464</v>
      </c>
      <c r="G279" s="39">
        <v>45997</v>
      </c>
      <c r="H279" s="39">
        <v>46001</v>
      </c>
      <c r="I279" s="32" t="s">
        <v>481</v>
      </c>
      <c r="J279" s="33"/>
      <c r="K279" s="38"/>
    </row>
    <row r="280" spans="1:11" ht="16.5">
      <c r="A280" s="32"/>
      <c r="B280" s="11"/>
      <c r="C280" s="11" t="str">
        <f>A280&amp;B280</f>
        <v/>
      </c>
      <c r="D280" s="32">
        <f>VLOOKUP($C280,Asignaturas!$C$5:$D$261,2,0)</f>
        <v>0</v>
      </c>
      <c r="E280" s="66" t="s">
        <v>491</v>
      </c>
      <c r="F280" s="32" t="s">
        <v>464</v>
      </c>
      <c r="G280" s="39">
        <v>45997</v>
      </c>
      <c r="H280" s="39">
        <v>46001</v>
      </c>
      <c r="I280" s="32" t="s">
        <v>481</v>
      </c>
      <c r="J280" s="33"/>
      <c r="K280" s="38"/>
    </row>
    <row r="281" spans="1:11" ht="16.5">
      <c r="A281" s="32"/>
      <c r="B281" s="11"/>
      <c r="C281" s="11" t="str">
        <f>A281&amp;B281</f>
        <v/>
      </c>
      <c r="D281" s="32">
        <f>VLOOKUP($C281,Asignaturas!$C$5:$D$261,2,0)</f>
        <v>0</v>
      </c>
      <c r="E281" s="66" t="s">
        <v>483</v>
      </c>
      <c r="F281" s="32" t="s">
        <v>464</v>
      </c>
      <c r="G281" s="39">
        <v>46001</v>
      </c>
      <c r="H281" s="39">
        <v>46002</v>
      </c>
      <c r="I281" s="32" t="s">
        <v>481</v>
      </c>
      <c r="J281" s="33"/>
      <c r="K281" s="38"/>
    </row>
    <row r="282" spans="1:11" ht="16.5">
      <c r="A282" s="32"/>
      <c r="B282" s="11"/>
      <c r="C282" s="11" t="str">
        <f>A282&amp;B282</f>
        <v/>
      </c>
      <c r="D282" s="32">
        <f>VLOOKUP($C282,Asignaturas!$C$5:$D$261,2,0)</f>
        <v>0</v>
      </c>
      <c r="E282" s="66" t="s">
        <v>491</v>
      </c>
      <c r="F282" s="32" t="s">
        <v>464</v>
      </c>
      <c r="G282" s="39">
        <v>46001</v>
      </c>
      <c r="H282" s="39">
        <v>46002</v>
      </c>
      <c r="I282" s="32" t="s">
        <v>481</v>
      </c>
      <c r="J282" s="33"/>
      <c r="K282" s="38"/>
    </row>
    <row r="283" spans="1:11" ht="16.5">
      <c r="A283" s="32"/>
      <c r="B283" s="11"/>
      <c r="C283" s="11" t="str">
        <f>A283&amp;B283</f>
        <v/>
      </c>
      <c r="D283" s="32">
        <f>VLOOKUP($C283,Asignaturas!$C$5:$D$261,2,0)</f>
        <v>0</v>
      </c>
      <c r="E283" s="66" t="s">
        <v>491</v>
      </c>
      <c r="F283" s="32" t="s">
        <v>464</v>
      </c>
      <c r="G283" s="39">
        <v>46001</v>
      </c>
      <c r="H283" s="39">
        <v>46002</v>
      </c>
      <c r="I283" s="32" t="s">
        <v>481</v>
      </c>
      <c r="J283" s="33"/>
      <c r="K283" s="38"/>
    </row>
    <row r="284" spans="1:11" ht="16.5">
      <c r="A284" s="32"/>
      <c r="B284" s="11"/>
      <c r="C284" s="11" t="str">
        <f>A284&amp;B284</f>
        <v/>
      </c>
      <c r="D284" s="32">
        <f>VLOOKUP($C284,Asignaturas!$C$5:$D$261,2,0)</f>
        <v>0</v>
      </c>
      <c r="E284" s="66" t="s">
        <v>483</v>
      </c>
      <c r="F284" s="32" t="s">
        <v>464</v>
      </c>
      <c r="G284" s="39">
        <v>46001</v>
      </c>
      <c r="H284" s="39">
        <v>46002</v>
      </c>
      <c r="I284" s="32" t="s">
        <v>481</v>
      </c>
      <c r="J284" s="33"/>
      <c r="K284" s="38"/>
    </row>
    <row r="285" spans="1:11" ht="16.5">
      <c r="A285" s="32"/>
      <c r="B285" s="11"/>
      <c r="C285" s="11" t="str">
        <f>A285&amp;B285</f>
        <v/>
      </c>
      <c r="D285" s="32">
        <f>VLOOKUP($C285,Asignaturas!$C$5:$D$261,2,0)</f>
        <v>0</v>
      </c>
      <c r="E285" s="66" t="s">
        <v>487</v>
      </c>
      <c r="F285" s="32" t="s">
        <v>464</v>
      </c>
      <c r="G285" s="39">
        <v>46001</v>
      </c>
      <c r="H285" s="39">
        <v>46002</v>
      </c>
      <c r="I285" s="32" t="s">
        <v>481</v>
      </c>
      <c r="J285" s="33"/>
      <c r="K285" s="38"/>
    </row>
    <row r="286" spans="1:11" ht="16.5">
      <c r="A286" s="32"/>
      <c r="B286" s="11"/>
      <c r="C286" s="11" t="str">
        <f>A286&amp;B286</f>
        <v/>
      </c>
      <c r="D286" s="32">
        <f>VLOOKUP($C286,Asignaturas!$C$5:$D$261,2,0)</f>
        <v>0</v>
      </c>
      <c r="E286" s="66" t="s">
        <v>483</v>
      </c>
      <c r="F286" s="32" t="s">
        <v>464</v>
      </c>
      <c r="G286" s="39">
        <v>46001</v>
      </c>
      <c r="H286" s="39">
        <v>46002</v>
      </c>
      <c r="I286" s="32" t="s">
        <v>481</v>
      </c>
      <c r="J286" s="33"/>
      <c r="K286" s="38"/>
    </row>
    <row r="287" spans="1:11" ht="16.5">
      <c r="A287" s="32"/>
      <c r="B287" s="11"/>
      <c r="C287" s="11" t="str">
        <f>A287&amp;B287</f>
        <v/>
      </c>
      <c r="D287" s="32">
        <f>VLOOKUP($C287,Asignaturas!$C$5:$D$261,2,0)</f>
        <v>0</v>
      </c>
      <c r="E287" s="66" t="s">
        <v>484</v>
      </c>
      <c r="F287" s="32" t="s">
        <v>464</v>
      </c>
      <c r="G287" s="39">
        <v>46001</v>
      </c>
      <c r="H287" s="39">
        <v>46002</v>
      </c>
      <c r="I287" s="32" t="s">
        <v>481</v>
      </c>
      <c r="J287" s="33"/>
      <c r="K287" s="38"/>
    </row>
    <row r="288" spans="1:11" ht="16.5">
      <c r="A288" s="32"/>
      <c r="B288" s="11"/>
      <c r="C288" s="11" t="str">
        <f>A288&amp;B288</f>
        <v/>
      </c>
      <c r="D288" s="32">
        <f>VLOOKUP($C288,Asignaturas!$C$5:$D$261,2,0)</f>
        <v>0</v>
      </c>
      <c r="E288" s="66" t="s">
        <v>491</v>
      </c>
      <c r="F288" s="32" t="s">
        <v>464</v>
      </c>
      <c r="G288" s="39">
        <v>46001</v>
      </c>
      <c r="H288" s="39">
        <v>46002</v>
      </c>
      <c r="I288" s="32" t="s">
        <v>481</v>
      </c>
      <c r="J288" s="33"/>
      <c r="K288" s="38"/>
    </row>
    <row r="289" spans="1:11" ht="16.5">
      <c r="A289" s="32"/>
      <c r="B289" s="11"/>
      <c r="C289" s="11" t="str">
        <f>A289&amp;B289</f>
        <v/>
      </c>
      <c r="D289" s="32">
        <f>VLOOKUP($C289,Asignaturas!$C$5:$D$261,2,0)</f>
        <v>0</v>
      </c>
      <c r="E289" s="66" t="s">
        <v>491</v>
      </c>
      <c r="F289" s="32" t="s">
        <v>464</v>
      </c>
      <c r="G289" s="39">
        <v>46001</v>
      </c>
      <c r="H289" s="39">
        <v>46002</v>
      </c>
      <c r="I289" s="32" t="s">
        <v>481</v>
      </c>
      <c r="J289" s="33"/>
      <c r="K289" s="38"/>
    </row>
    <row r="290" spans="1:11" ht="16.5">
      <c r="A290" s="32"/>
      <c r="B290" s="11"/>
      <c r="C290" s="11" t="str">
        <f>A290&amp;B290</f>
        <v/>
      </c>
      <c r="D290" s="32">
        <f>VLOOKUP($C290,Asignaturas!$C$5:$D$261,2,0)</f>
        <v>0</v>
      </c>
      <c r="E290" s="66" t="s">
        <v>491</v>
      </c>
      <c r="F290" s="32" t="s">
        <v>464</v>
      </c>
      <c r="G290" s="39">
        <v>46001</v>
      </c>
      <c r="H290" s="39">
        <v>46002</v>
      </c>
      <c r="I290" s="32" t="s">
        <v>481</v>
      </c>
      <c r="J290" s="33"/>
      <c r="K290" s="38"/>
    </row>
    <row r="291" spans="1:11" ht="16.5">
      <c r="A291" s="32"/>
      <c r="B291" s="11"/>
      <c r="C291" s="11" t="str">
        <f>A291&amp;B291</f>
        <v/>
      </c>
      <c r="D291" s="32">
        <f>VLOOKUP($C291,Asignaturas!$C$5:$D$261,2,0)</f>
        <v>0</v>
      </c>
      <c r="E291" s="66" t="s">
        <v>491</v>
      </c>
      <c r="F291" s="32" t="s">
        <v>464</v>
      </c>
      <c r="G291" s="39">
        <v>46001</v>
      </c>
      <c r="H291" s="39">
        <v>46002</v>
      </c>
      <c r="I291" s="32" t="s">
        <v>481</v>
      </c>
      <c r="J291" s="33"/>
      <c r="K291" s="38"/>
    </row>
    <row r="292" spans="1:11" ht="16.5">
      <c r="A292" s="32"/>
      <c r="B292" s="11"/>
      <c r="C292" s="11" t="str">
        <f>A292&amp;B292</f>
        <v/>
      </c>
      <c r="D292" s="32">
        <f>VLOOKUP($C292,Asignaturas!$C$5:$D$261,2,0)</f>
        <v>0</v>
      </c>
      <c r="E292" s="66" t="s">
        <v>491</v>
      </c>
      <c r="F292" s="32" t="s">
        <v>464</v>
      </c>
      <c r="G292" s="39">
        <v>46001</v>
      </c>
      <c r="H292" s="39">
        <v>46002</v>
      </c>
      <c r="I292" s="32" t="s">
        <v>481</v>
      </c>
      <c r="J292" s="33"/>
      <c r="K292" s="38"/>
    </row>
    <row r="293" spans="1:11" ht="16.5">
      <c r="A293" s="32"/>
      <c r="B293" s="11"/>
      <c r="C293" s="11" t="str">
        <f>A293&amp;B293</f>
        <v/>
      </c>
      <c r="D293" s="32">
        <f>VLOOKUP($C293,Asignaturas!$C$5:$D$261,2,0)</f>
        <v>0</v>
      </c>
      <c r="E293" s="66" t="s">
        <v>491</v>
      </c>
      <c r="F293" s="32" t="s">
        <v>464</v>
      </c>
      <c r="G293" s="39">
        <v>46001</v>
      </c>
      <c r="H293" s="39">
        <v>46002</v>
      </c>
      <c r="I293" s="32" t="s">
        <v>481</v>
      </c>
      <c r="J293" s="33"/>
      <c r="K293" s="38"/>
    </row>
    <row r="294" spans="1:11" ht="16.5">
      <c r="A294" s="32"/>
      <c r="B294" s="11"/>
      <c r="C294" s="11" t="str">
        <f>A294&amp;B294</f>
        <v/>
      </c>
      <c r="D294" s="32">
        <f>VLOOKUP($C294,Asignaturas!$C$5:$D$261,2,0)</f>
        <v>0</v>
      </c>
      <c r="E294" s="66" t="s">
        <v>491</v>
      </c>
      <c r="F294" s="32" t="s">
        <v>464</v>
      </c>
      <c r="G294" s="39">
        <v>46001</v>
      </c>
      <c r="H294" s="39">
        <v>46002</v>
      </c>
      <c r="I294" s="32" t="s">
        <v>481</v>
      </c>
      <c r="J294" s="33"/>
      <c r="K294" s="38"/>
    </row>
    <row r="295" spans="1:11" ht="16.5">
      <c r="A295" s="32"/>
      <c r="B295" s="11"/>
      <c r="C295" s="11" t="str">
        <f>A295&amp;B295</f>
        <v/>
      </c>
      <c r="D295" s="32">
        <f>VLOOKUP($C295,Asignaturas!$C$5:$D$261,2,0)</f>
        <v>0</v>
      </c>
      <c r="E295" s="66" t="s">
        <v>491</v>
      </c>
      <c r="F295" s="32" t="s">
        <v>464</v>
      </c>
      <c r="G295" s="39">
        <v>46001</v>
      </c>
      <c r="H295" s="39">
        <v>46002</v>
      </c>
      <c r="I295" s="32" t="s">
        <v>481</v>
      </c>
      <c r="J295" s="33"/>
      <c r="K295" s="38"/>
    </row>
    <row r="296" spans="1:11" ht="16.5">
      <c r="A296" s="32"/>
      <c r="B296" s="11"/>
      <c r="C296" s="11" t="str">
        <f>A296&amp;B296</f>
        <v/>
      </c>
      <c r="D296" s="32">
        <f>VLOOKUP($C296,Asignaturas!$C$5:$D$261,2,0)</f>
        <v>0</v>
      </c>
      <c r="E296" s="66" t="s">
        <v>491</v>
      </c>
      <c r="F296" s="32" t="s">
        <v>464</v>
      </c>
      <c r="G296" s="39">
        <v>46001</v>
      </c>
      <c r="H296" s="39">
        <v>46002</v>
      </c>
      <c r="I296" s="32" t="s">
        <v>481</v>
      </c>
      <c r="J296" s="33"/>
      <c r="K296" s="38"/>
    </row>
    <row r="297" spans="1:11" ht="16.5">
      <c r="A297" s="32"/>
      <c r="B297" s="11"/>
      <c r="C297" s="11" t="str">
        <f>A297&amp;B297</f>
        <v/>
      </c>
      <c r="D297" s="32">
        <f>VLOOKUP($C297,Asignaturas!$C$5:$D$261,2,0)</f>
        <v>0</v>
      </c>
      <c r="E297" s="66" t="s">
        <v>491</v>
      </c>
      <c r="F297" s="32" t="s">
        <v>471</v>
      </c>
      <c r="G297" s="39">
        <v>46001</v>
      </c>
      <c r="H297" s="39">
        <v>46002</v>
      </c>
      <c r="I297" s="32" t="s">
        <v>482</v>
      </c>
      <c r="J297" s="33"/>
      <c r="K297" s="38"/>
    </row>
    <row r="298" spans="1:11" ht="16.5">
      <c r="A298" s="32"/>
      <c r="B298" s="11"/>
      <c r="C298" s="11" t="str">
        <f>A298&amp;B298</f>
        <v/>
      </c>
      <c r="D298" s="32">
        <f>VLOOKUP($C298,Asignaturas!$C$5:$D$261,2,0)</f>
        <v>0</v>
      </c>
      <c r="E298" s="66" t="s">
        <v>491</v>
      </c>
      <c r="F298" s="32" t="s">
        <v>471</v>
      </c>
      <c r="G298" s="39">
        <v>46001</v>
      </c>
      <c r="H298" s="39">
        <v>46002</v>
      </c>
      <c r="I298" s="32" t="s">
        <v>482</v>
      </c>
      <c r="J298" s="33"/>
      <c r="K298" s="38"/>
    </row>
    <row r="299" spans="1:11" ht="16.5">
      <c r="A299" s="32"/>
      <c r="B299" s="11"/>
      <c r="C299" s="11" t="str">
        <f>A299&amp;B299</f>
        <v/>
      </c>
      <c r="D299" s="32">
        <f>VLOOKUP($C299,Asignaturas!$C$5:$D$261,2,0)</f>
        <v>0</v>
      </c>
      <c r="E299" s="66" t="s">
        <v>491</v>
      </c>
      <c r="F299" s="32" t="s">
        <v>471</v>
      </c>
      <c r="G299" s="39">
        <v>46001</v>
      </c>
      <c r="H299" s="39">
        <v>46002</v>
      </c>
      <c r="I299" s="32" t="s">
        <v>482</v>
      </c>
      <c r="J299" s="33"/>
      <c r="K299" s="38"/>
    </row>
    <row r="300" spans="1:11" ht="16.5">
      <c r="A300" s="32"/>
      <c r="B300" s="11"/>
      <c r="C300" s="11" t="str">
        <f>A300&amp;B300</f>
        <v/>
      </c>
      <c r="D300" s="32">
        <f>VLOOKUP($C300,Asignaturas!$C$5:$D$261,2,0)</f>
        <v>0</v>
      </c>
      <c r="E300" s="66" t="s">
        <v>491</v>
      </c>
      <c r="F300" s="32" t="s">
        <v>471</v>
      </c>
      <c r="G300" s="39">
        <v>46001</v>
      </c>
      <c r="H300" s="39">
        <v>46002</v>
      </c>
      <c r="I300" s="32" t="s">
        <v>482</v>
      </c>
      <c r="J300" s="33"/>
      <c r="K300" s="38"/>
    </row>
    <row r="301" spans="1:11" ht="16.5">
      <c r="A301" s="32"/>
      <c r="B301" s="11"/>
      <c r="C301" s="11" t="str">
        <f>A301&amp;B301</f>
        <v/>
      </c>
      <c r="D301" s="32">
        <f>VLOOKUP($C301,Asignaturas!$C$5:$D$261,2,0)</f>
        <v>0</v>
      </c>
      <c r="E301" s="66" t="s">
        <v>530</v>
      </c>
      <c r="F301" s="32" t="s">
        <v>464</v>
      </c>
      <c r="G301" s="39">
        <v>46001</v>
      </c>
      <c r="H301" s="39">
        <v>46002</v>
      </c>
      <c r="I301" s="32" t="s">
        <v>481</v>
      </c>
      <c r="J301" s="33"/>
      <c r="K301" s="38"/>
    </row>
    <row r="302" spans="1:11" ht="16.5">
      <c r="A302" s="32"/>
      <c r="B302" s="11"/>
      <c r="C302" s="11" t="str">
        <f>A302&amp;B302</f>
        <v/>
      </c>
      <c r="D302" s="32">
        <f>VLOOKUP($C302,Asignaturas!$C$5:$D$261,2,0)</f>
        <v>0</v>
      </c>
      <c r="E302" s="66" t="s">
        <v>485</v>
      </c>
      <c r="F302" s="32" t="s">
        <v>464</v>
      </c>
      <c r="G302" s="39">
        <v>46001</v>
      </c>
      <c r="H302" s="39">
        <v>46002</v>
      </c>
      <c r="I302" s="32" t="s">
        <v>481</v>
      </c>
      <c r="J302" s="33"/>
      <c r="K302" s="38"/>
    </row>
    <row r="303" spans="1:11" ht="16.5">
      <c r="A303" s="32"/>
      <c r="B303" s="11"/>
      <c r="C303" s="11" t="str">
        <f t="shared" ref="C303:C304" si="6">A303&amp;B303</f>
        <v/>
      </c>
      <c r="D303" s="32">
        <f>VLOOKUP($C303,Asignaturas!$C$5:$D$261,2,0)</f>
        <v>0</v>
      </c>
      <c r="E303" s="66" t="s">
        <v>485</v>
      </c>
      <c r="F303" s="32" t="s">
        <v>464</v>
      </c>
      <c r="G303" s="39">
        <v>46001</v>
      </c>
      <c r="H303" s="39">
        <v>46002</v>
      </c>
      <c r="I303" s="32" t="s">
        <v>481</v>
      </c>
      <c r="J303" s="33"/>
      <c r="K303" s="38"/>
    </row>
    <row r="304" spans="1:11" ht="16.5">
      <c r="A304" s="32"/>
      <c r="B304" s="11"/>
      <c r="C304" s="11" t="str">
        <f t="shared" si="6"/>
        <v/>
      </c>
      <c r="D304" s="32">
        <f>VLOOKUP($C304,Asignaturas!$C$5:$D$261,2,0)</f>
        <v>0</v>
      </c>
      <c r="E304" s="66" t="s">
        <v>491</v>
      </c>
      <c r="F304" s="32" t="s">
        <v>464</v>
      </c>
      <c r="G304" s="39">
        <v>46001</v>
      </c>
      <c r="H304" s="39">
        <v>46002</v>
      </c>
      <c r="I304" s="32" t="s">
        <v>481</v>
      </c>
      <c r="J304" s="33"/>
      <c r="K304" s="38"/>
    </row>
    <row r="305" spans="1:11" ht="16.5">
      <c r="A305" s="32"/>
      <c r="B305" s="11"/>
      <c r="C305" s="11" t="str">
        <f>A305&amp;B305</f>
        <v/>
      </c>
      <c r="D305" s="32">
        <f>VLOOKUP($C305,Asignaturas!$C$5:$D$261,2,0)</f>
        <v>0</v>
      </c>
      <c r="E305" s="66" t="s">
        <v>531</v>
      </c>
      <c r="F305" s="32" t="s">
        <v>464</v>
      </c>
      <c r="G305" s="39">
        <v>46001</v>
      </c>
      <c r="H305" s="39">
        <v>46002</v>
      </c>
      <c r="I305" s="32" t="s">
        <v>481</v>
      </c>
      <c r="J305" s="33"/>
      <c r="K305" s="38"/>
    </row>
    <row r="306" spans="1:11" ht="16.5">
      <c r="A306" s="32"/>
      <c r="B306" s="11"/>
      <c r="C306" s="11" t="str">
        <f>A306&amp;B306</f>
        <v/>
      </c>
      <c r="D306" s="32">
        <f>VLOOKUP($C306,Asignaturas!$C$5:$D$261,2,0)</f>
        <v>0</v>
      </c>
      <c r="E306" s="66" t="s">
        <v>491</v>
      </c>
      <c r="F306" s="32" t="s">
        <v>464</v>
      </c>
      <c r="G306" s="39">
        <v>46001</v>
      </c>
      <c r="H306" s="39">
        <v>46002</v>
      </c>
      <c r="I306" s="32" t="s">
        <v>481</v>
      </c>
      <c r="J306" s="33"/>
      <c r="K306" s="38"/>
    </row>
    <row r="307" spans="1:11" ht="16.5">
      <c r="A307" s="32"/>
      <c r="B307" s="11"/>
      <c r="C307" s="11" t="str">
        <f>A307&amp;B307</f>
        <v/>
      </c>
      <c r="D307" s="32">
        <f>VLOOKUP($C307,Asignaturas!$C$5:$D$261,2,0)</f>
        <v>0</v>
      </c>
      <c r="E307" s="66" t="s">
        <v>532</v>
      </c>
      <c r="F307" s="32" t="s">
        <v>471</v>
      </c>
      <c r="G307" s="39">
        <v>46001</v>
      </c>
      <c r="H307" s="39">
        <v>46002</v>
      </c>
      <c r="I307" s="32" t="s">
        <v>482</v>
      </c>
      <c r="J307" s="33"/>
      <c r="K307" s="38"/>
    </row>
    <row r="308" spans="1:11" ht="16.5">
      <c r="A308" s="32"/>
      <c r="B308" s="11"/>
      <c r="C308" s="11" t="str">
        <f>A308&amp;B308</f>
        <v/>
      </c>
      <c r="D308" s="32">
        <f>VLOOKUP($C308,Asignaturas!$C$5:$D$261,2,0)</f>
        <v>0</v>
      </c>
      <c r="E308" s="66" t="s">
        <v>485</v>
      </c>
      <c r="F308" s="32" t="s">
        <v>471</v>
      </c>
      <c r="G308" s="39">
        <v>46001</v>
      </c>
      <c r="H308" s="39">
        <v>46002</v>
      </c>
      <c r="I308" s="32" t="s">
        <v>482</v>
      </c>
      <c r="J308" s="33"/>
      <c r="K308" s="38"/>
    </row>
    <row r="309" spans="1:11" ht="16.5">
      <c r="A309" s="32"/>
      <c r="B309" s="11"/>
      <c r="C309" s="11" t="str">
        <f>A309&amp;B309</f>
        <v/>
      </c>
      <c r="D309" s="32">
        <f>VLOOKUP($C309,Asignaturas!$C$5:$D$261,2,0)</f>
        <v>0</v>
      </c>
      <c r="E309" s="66" t="s">
        <v>488</v>
      </c>
      <c r="F309" s="32" t="s">
        <v>471</v>
      </c>
      <c r="G309" s="39">
        <v>46001</v>
      </c>
      <c r="H309" s="39">
        <v>46002</v>
      </c>
      <c r="I309" s="32" t="s">
        <v>482</v>
      </c>
      <c r="J309" s="33"/>
      <c r="K309" s="38"/>
    </row>
    <row r="310" spans="1:11" ht="16.5">
      <c r="A310" s="32"/>
      <c r="B310" s="11"/>
      <c r="C310" s="11" t="str">
        <f>A310&amp;B310</f>
        <v/>
      </c>
      <c r="D310" s="32">
        <f>VLOOKUP($C310,Asignaturas!$C$5:$D$261,2,0)</f>
        <v>0</v>
      </c>
      <c r="E310" s="66" t="s">
        <v>485</v>
      </c>
      <c r="F310" s="32" t="s">
        <v>471</v>
      </c>
      <c r="G310" s="39">
        <v>46001</v>
      </c>
      <c r="H310" s="39">
        <v>46002</v>
      </c>
      <c r="I310" s="32" t="s">
        <v>482</v>
      </c>
      <c r="J310" s="33"/>
      <c r="K310" s="38"/>
    </row>
    <row r="311" spans="1:11" ht="16.5">
      <c r="A311" s="32"/>
      <c r="B311" s="11"/>
      <c r="C311" s="11" t="str">
        <f>A311&amp;B311</f>
        <v/>
      </c>
      <c r="D311" s="32">
        <f>VLOOKUP($C311,Asignaturas!$C$5:$D$261,2,0)</f>
        <v>0</v>
      </c>
      <c r="E311" s="66" t="s">
        <v>487</v>
      </c>
      <c r="F311" s="32" t="s">
        <v>471</v>
      </c>
      <c r="G311" s="39">
        <v>46001</v>
      </c>
      <c r="H311" s="39">
        <v>46002</v>
      </c>
      <c r="I311" s="32" t="s">
        <v>482</v>
      </c>
      <c r="J311" s="33"/>
      <c r="K311" s="38"/>
    </row>
    <row r="312" spans="1:11" ht="16.5">
      <c r="A312" s="32"/>
      <c r="B312" s="11"/>
      <c r="C312" s="11" t="str">
        <f>A312&amp;B312</f>
        <v/>
      </c>
      <c r="D312" s="32">
        <f>VLOOKUP($C312,Asignaturas!$C$5:$D$261,2,0)</f>
        <v>0</v>
      </c>
      <c r="E312" s="66" t="s">
        <v>487</v>
      </c>
      <c r="F312" s="32" t="s">
        <v>471</v>
      </c>
      <c r="G312" s="39">
        <v>46001</v>
      </c>
      <c r="H312" s="39">
        <v>46002</v>
      </c>
      <c r="I312" s="32" t="s">
        <v>482</v>
      </c>
      <c r="J312" s="33"/>
      <c r="K312" s="38"/>
    </row>
    <row r="313" spans="1:11" ht="16.5">
      <c r="A313" s="32"/>
      <c r="B313" s="11"/>
      <c r="C313" s="11" t="str">
        <f>A313&amp;B313</f>
        <v/>
      </c>
      <c r="D313" s="32">
        <f>VLOOKUP($C313,Asignaturas!$C$5:$D$261,2,0)</f>
        <v>0</v>
      </c>
      <c r="E313" s="66" t="s">
        <v>491</v>
      </c>
      <c r="F313" s="32" t="s">
        <v>471</v>
      </c>
      <c r="G313" s="39">
        <v>46001</v>
      </c>
      <c r="H313" s="39">
        <v>46002</v>
      </c>
      <c r="I313" s="32" t="s">
        <v>482</v>
      </c>
      <c r="J313" s="33"/>
      <c r="K313" s="38"/>
    </row>
    <row r="314" spans="1:11" ht="16.5">
      <c r="A314" s="32"/>
      <c r="B314" s="11"/>
      <c r="C314" s="11" t="str">
        <f>A314&amp;B314</f>
        <v/>
      </c>
      <c r="D314" s="32">
        <f>VLOOKUP($C314,Asignaturas!$C$5:$D$261,2,0)</f>
        <v>0</v>
      </c>
      <c r="E314" s="66" t="s">
        <v>533</v>
      </c>
      <c r="F314" s="32" t="s">
        <v>471</v>
      </c>
      <c r="G314" s="39">
        <v>46001</v>
      </c>
      <c r="H314" s="39">
        <v>46002</v>
      </c>
      <c r="I314" s="32" t="s">
        <v>482</v>
      </c>
      <c r="J314" s="33"/>
      <c r="K314" s="38"/>
    </row>
    <row r="315" spans="1:11" ht="16.5">
      <c r="A315" s="32"/>
      <c r="B315" s="11"/>
      <c r="C315" s="11" t="str">
        <f>A315&amp;B315</f>
        <v/>
      </c>
      <c r="D315" s="32">
        <f>VLOOKUP($C315,Asignaturas!$C$5:$D$261,2,0)</f>
        <v>0</v>
      </c>
      <c r="E315" s="66" t="s">
        <v>534</v>
      </c>
      <c r="F315" s="32" t="s">
        <v>471</v>
      </c>
      <c r="G315" s="39">
        <v>46001</v>
      </c>
      <c r="H315" s="39">
        <v>46002</v>
      </c>
      <c r="I315" s="32" t="s">
        <v>482</v>
      </c>
      <c r="J315" s="33"/>
      <c r="K315" s="38"/>
    </row>
    <row r="316" spans="1:11" ht="16.5">
      <c r="A316" s="32"/>
      <c r="B316" s="11"/>
      <c r="C316" s="11" t="str">
        <f>A316&amp;B316</f>
        <v/>
      </c>
      <c r="D316" s="32">
        <f>VLOOKUP($C316,Asignaturas!$C$5:$D$261,2,0)</f>
        <v>0</v>
      </c>
      <c r="E316" s="66" t="s">
        <v>491</v>
      </c>
      <c r="F316" s="32" t="s">
        <v>464</v>
      </c>
      <c r="G316" s="39">
        <v>46002</v>
      </c>
      <c r="H316" s="39">
        <v>46003</v>
      </c>
      <c r="I316" s="32" t="s">
        <v>481</v>
      </c>
      <c r="J316" s="33"/>
      <c r="K316" s="38"/>
    </row>
    <row r="317" spans="1:11" ht="16.5">
      <c r="A317" s="32"/>
      <c r="B317" s="11"/>
      <c r="C317" s="11" t="str">
        <f>A317&amp;B317</f>
        <v/>
      </c>
      <c r="D317" s="32">
        <f>VLOOKUP($C317,Asignaturas!$C$5:$D$261,2,0)</f>
        <v>0</v>
      </c>
      <c r="E317" s="66" t="s">
        <v>491</v>
      </c>
      <c r="F317" s="32" t="s">
        <v>464</v>
      </c>
      <c r="G317" s="39">
        <v>46002</v>
      </c>
      <c r="H317" s="39">
        <v>46003</v>
      </c>
      <c r="I317" s="32" t="s">
        <v>481</v>
      </c>
      <c r="J317" s="33"/>
      <c r="K317" s="38"/>
    </row>
    <row r="318" spans="1:11" ht="16.5">
      <c r="A318" s="32"/>
      <c r="B318" s="11"/>
      <c r="C318" s="11" t="str">
        <f>A318&amp;B318</f>
        <v/>
      </c>
      <c r="D318" s="32">
        <f>VLOOKUP($C318,Asignaturas!$C$5:$D$261,2,0)</f>
        <v>0</v>
      </c>
      <c r="E318" s="66" t="s">
        <v>491</v>
      </c>
      <c r="F318" s="32" t="s">
        <v>464</v>
      </c>
      <c r="G318" s="39">
        <v>46002</v>
      </c>
      <c r="H318" s="39">
        <v>46003</v>
      </c>
      <c r="I318" s="32" t="s">
        <v>481</v>
      </c>
      <c r="J318" s="33"/>
      <c r="K318" s="38"/>
    </row>
    <row r="319" spans="1:11" ht="16.5">
      <c r="A319" s="32"/>
      <c r="B319" s="11"/>
      <c r="C319" s="11" t="str">
        <f>A319&amp;B319</f>
        <v/>
      </c>
      <c r="D319" s="32">
        <f>VLOOKUP($C319,Asignaturas!$C$5:$D$261,2,0)</f>
        <v>0</v>
      </c>
      <c r="E319" s="66" t="s">
        <v>491</v>
      </c>
      <c r="F319" s="32" t="s">
        <v>464</v>
      </c>
      <c r="G319" s="39">
        <v>46002</v>
      </c>
      <c r="H319" s="39">
        <v>46003</v>
      </c>
      <c r="I319" s="32" t="s">
        <v>481</v>
      </c>
      <c r="J319" s="33"/>
      <c r="K319" s="38"/>
    </row>
    <row r="320" spans="1:11" ht="16.5">
      <c r="A320" s="32"/>
      <c r="B320" s="11"/>
      <c r="C320" s="11" t="str">
        <f>A320&amp;B320</f>
        <v/>
      </c>
      <c r="D320" s="32">
        <f>VLOOKUP($C320,Asignaturas!$C$5:$D$261,2,0)</f>
        <v>0</v>
      </c>
      <c r="E320" s="66" t="s">
        <v>491</v>
      </c>
      <c r="F320" s="32" t="s">
        <v>464</v>
      </c>
      <c r="G320" s="43">
        <v>46002</v>
      </c>
      <c r="H320" s="43">
        <v>46003</v>
      </c>
      <c r="I320" s="32" t="s">
        <v>481</v>
      </c>
      <c r="J320" s="33"/>
      <c r="K320" s="38"/>
    </row>
    <row r="321" spans="1:11" ht="16.5">
      <c r="A321" s="42"/>
      <c r="B321" s="71"/>
      <c r="C321" s="71" t="str">
        <f>A321&amp;B321</f>
        <v/>
      </c>
      <c r="D321" s="42">
        <f>VLOOKUP($C321,Asignaturas!$C$5:$D$261,2,0)</f>
        <v>0</v>
      </c>
      <c r="E321" s="67" t="s">
        <v>491</v>
      </c>
      <c r="F321" s="42" t="s">
        <v>464</v>
      </c>
      <c r="G321" s="43">
        <v>46002</v>
      </c>
      <c r="H321" s="43">
        <v>46003</v>
      </c>
      <c r="I321" s="42" t="s">
        <v>481</v>
      </c>
      <c r="J321" s="72"/>
      <c r="K321" s="73"/>
    </row>
    <row r="322" spans="1:11" ht="16.5">
      <c r="A322" s="32"/>
      <c r="B322" s="11"/>
      <c r="C322" s="11" t="str">
        <f>A322&amp;B322</f>
        <v/>
      </c>
      <c r="D322" s="42">
        <f>VLOOKUP($C322,Asignaturas!$C$5:$D$261,2,0)</f>
        <v>0</v>
      </c>
      <c r="E322" s="67" t="s">
        <v>491</v>
      </c>
      <c r="F322" s="42" t="s">
        <v>464</v>
      </c>
      <c r="G322" s="43">
        <v>46002</v>
      </c>
      <c r="H322" s="43">
        <v>46003</v>
      </c>
      <c r="I322" s="42" t="s">
        <v>481</v>
      </c>
      <c r="J322" s="33"/>
      <c r="K322" s="38"/>
    </row>
    <row r="323" spans="1:11" ht="16.5">
      <c r="A323" s="32"/>
      <c r="B323" s="11"/>
      <c r="C323" s="11" t="str">
        <f>A323&amp;B323</f>
        <v/>
      </c>
      <c r="D323" s="32">
        <f>VLOOKUP($C323,Asignaturas!$C$5:$D$261,2,0)</f>
        <v>0</v>
      </c>
      <c r="E323" s="66" t="s">
        <v>491</v>
      </c>
      <c r="F323" s="42" t="s">
        <v>464</v>
      </c>
      <c r="G323" s="43">
        <v>46002</v>
      </c>
      <c r="H323" s="43">
        <v>46003</v>
      </c>
      <c r="I323" s="42" t="s">
        <v>481</v>
      </c>
      <c r="J323" s="33"/>
      <c r="K323" s="38"/>
    </row>
    <row r="324" spans="1:11" ht="16.5">
      <c r="A324" s="32"/>
      <c r="B324" s="11"/>
      <c r="C324" s="11" t="str">
        <f>A324&amp;B324</f>
        <v/>
      </c>
      <c r="D324" s="32">
        <f>VLOOKUP($C324,Asignaturas!$C$5:$D$261,2,0)</f>
        <v>0</v>
      </c>
      <c r="E324" s="66" t="s">
        <v>491</v>
      </c>
      <c r="F324" s="42" t="s">
        <v>464</v>
      </c>
      <c r="G324" s="43">
        <v>46002</v>
      </c>
      <c r="H324" s="43">
        <v>46003</v>
      </c>
      <c r="I324" s="42" t="s">
        <v>481</v>
      </c>
      <c r="J324" s="33"/>
      <c r="K324" s="38"/>
    </row>
    <row r="325" spans="1:11" ht="16.5">
      <c r="A325" s="32"/>
      <c r="B325" s="11"/>
      <c r="C325" s="11" t="str">
        <f>A325&amp;B325</f>
        <v/>
      </c>
      <c r="D325" s="32">
        <f>VLOOKUP($C325,Asignaturas!$C$5:$D$261,2,0)</f>
        <v>0</v>
      </c>
      <c r="E325" s="66" t="s">
        <v>491</v>
      </c>
      <c r="F325" s="32" t="s">
        <v>471</v>
      </c>
      <c r="G325" s="43">
        <v>46002</v>
      </c>
      <c r="H325" s="43">
        <v>46003</v>
      </c>
      <c r="I325" s="32" t="s">
        <v>482</v>
      </c>
      <c r="J325" s="33"/>
      <c r="K325" s="38"/>
    </row>
    <row r="326" spans="1:11" ht="16.5">
      <c r="A326" s="32"/>
      <c r="B326" s="11"/>
      <c r="C326" s="11" t="str">
        <f>A326&amp;B326</f>
        <v/>
      </c>
      <c r="D326" s="32">
        <f>VLOOKUP($C326,Asignaturas!$C$5:$D$261,2,0)</f>
        <v>0</v>
      </c>
      <c r="E326" s="66" t="s">
        <v>491</v>
      </c>
      <c r="F326" s="32" t="s">
        <v>471</v>
      </c>
      <c r="G326" s="43">
        <v>46002</v>
      </c>
      <c r="H326" s="43">
        <v>46003</v>
      </c>
      <c r="I326" s="32" t="s">
        <v>482</v>
      </c>
      <c r="J326" s="33"/>
      <c r="K326" s="38"/>
    </row>
    <row r="327" spans="1:11" ht="16.5">
      <c r="A327" s="32"/>
      <c r="B327" s="11"/>
      <c r="C327" s="11" t="str">
        <f>A327&amp;B327</f>
        <v/>
      </c>
      <c r="D327" s="32">
        <f>VLOOKUP($C327,Asignaturas!$C$5:$D$261,2,0)</f>
        <v>0</v>
      </c>
      <c r="E327" s="66" t="s">
        <v>491</v>
      </c>
      <c r="F327" s="32" t="s">
        <v>471</v>
      </c>
      <c r="G327" s="43">
        <v>46002</v>
      </c>
      <c r="H327" s="43">
        <v>46003</v>
      </c>
      <c r="I327" s="32" t="s">
        <v>482</v>
      </c>
      <c r="J327" s="33"/>
      <c r="K327" s="38"/>
    </row>
    <row r="328" spans="1:11" ht="16.5">
      <c r="A328" s="32"/>
      <c r="B328" s="11"/>
      <c r="C328" s="11" t="str">
        <f>A328&amp;B328</f>
        <v/>
      </c>
      <c r="D328" s="32">
        <f>VLOOKUP($C328,Asignaturas!$C$5:$D$261,2,0)</f>
        <v>0</v>
      </c>
      <c r="E328" s="66" t="s">
        <v>491</v>
      </c>
      <c r="F328" s="32" t="s">
        <v>471</v>
      </c>
      <c r="G328" s="43">
        <v>46002</v>
      </c>
      <c r="H328" s="43">
        <v>46003</v>
      </c>
      <c r="I328" s="32" t="s">
        <v>482</v>
      </c>
      <c r="J328" s="33"/>
      <c r="K328" s="38"/>
    </row>
    <row r="329" spans="1:11" ht="16.5">
      <c r="A329" s="59"/>
      <c r="B329" s="11"/>
      <c r="C329" s="11" t="str">
        <f>A329&amp;B329</f>
        <v/>
      </c>
      <c r="D329" s="32">
        <f>VLOOKUP($C329,Asignaturas!$C$5:$D$261,2,0)</f>
        <v>0</v>
      </c>
      <c r="E329" s="66" t="s">
        <v>491</v>
      </c>
      <c r="F329" s="32" t="s">
        <v>464</v>
      </c>
      <c r="G329" s="43">
        <v>46003</v>
      </c>
      <c r="H329" s="43">
        <v>46004</v>
      </c>
      <c r="I329" s="32" t="s">
        <v>481</v>
      </c>
      <c r="J329" s="33"/>
      <c r="K329" s="38"/>
    </row>
    <row r="330" spans="1:11" ht="16.5">
      <c r="A330" s="59"/>
      <c r="B330" s="11"/>
      <c r="C330" s="11" t="str">
        <f>A330&amp;B330</f>
        <v/>
      </c>
      <c r="D330" s="32">
        <f>VLOOKUP($C330,Asignaturas!$C$5:$D$261,2,0)</f>
        <v>0</v>
      </c>
      <c r="E330" s="66" t="s">
        <v>491</v>
      </c>
      <c r="F330" s="32" t="s">
        <v>464</v>
      </c>
      <c r="G330" s="43">
        <v>46003</v>
      </c>
      <c r="H330" s="43">
        <v>46004</v>
      </c>
      <c r="I330" s="32" t="s">
        <v>481</v>
      </c>
      <c r="J330" s="33"/>
      <c r="K330" s="38"/>
    </row>
    <row r="331" spans="1:11" ht="16.5">
      <c r="A331" s="32"/>
      <c r="B331" s="11"/>
      <c r="C331" s="11" t="str">
        <f>A331&amp;B331</f>
        <v/>
      </c>
      <c r="D331" s="32">
        <f>VLOOKUP($C331,Asignaturas!$C$5:$D$261,2,0)</f>
        <v>0</v>
      </c>
      <c r="E331" s="66" t="s">
        <v>491</v>
      </c>
      <c r="F331" s="32" t="s">
        <v>464</v>
      </c>
      <c r="G331" s="43">
        <v>46003</v>
      </c>
      <c r="H331" s="43">
        <v>46004</v>
      </c>
      <c r="I331" s="32" t="s">
        <v>481</v>
      </c>
      <c r="J331" s="33"/>
      <c r="K331" s="38"/>
    </row>
    <row r="332" spans="1:11" ht="16.5">
      <c r="A332" s="32"/>
      <c r="B332" s="11"/>
      <c r="C332" s="11" t="str">
        <f>A332&amp;B332</f>
        <v/>
      </c>
      <c r="D332" s="32">
        <f>VLOOKUP($C332,Asignaturas!$C$5:$D$261,2,0)</f>
        <v>0</v>
      </c>
      <c r="E332" s="66" t="s">
        <v>491</v>
      </c>
      <c r="F332" s="32" t="s">
        <v>464</v>
      </c>
      <c r="G332" s="43">
        <v>46003</v>
      </c>
      <c r="H332" s="43">
        <v>46004</v>
      </c>
      <c r="I332" s="32" t="s">
        <v>481</v>
      </c>
      <c r="J332" s="33"/>
      <c r="K332" s="38"/>
    </row>
    <row r="333" spans="1:11" ht="16.5">
      <c r="A333" s="32"/>
      <c r="B333" s="11"/>
      <c r="C333" s="11" t="str">
        <f>A333&amp;B333</f>
        <v/>
      </c>
      <c r="D333" s="32">
        <f>VLOOKUP($C333,Asignaturas!$C$5:$D$261,2,0)</f>
        <v>0</v>
      </c>
      <c r="E333" s="67" t="s">
        <v>491</v>
      </c>
      <c r="F333" s="32" t="s">
        <v>464</v>
      </c>
      <c r="G333" s="43">
        <v>46003</v>
      </c>
      <c r="H333" s="43">
        <v>46004</v>
      </c>
      <c r="I333" s="32" t="s">
        <v>481</v>
      </c>
      <c r="J333" s="33"/>
      <c r="K333" s="38"/>
    </row>
    <row r="334" spans="1:11" ht="16.5">
      <c r="A334" s="32"/>
      <c r="B334" s="11"/>
      <c r="C334" s="11" t="str">
        <f>A334&amp;B334</f>
        <v/>
      </c>
      <c r="D334" s="32">
        <f>VLOOKUP($C334,Asignaturas!$C$5:$D$261,2,0)</f>
        <v>0</v>
      </c>
      <c r="E334" s="67" t="s">
        <v>491</v>
      </c>
      <c r="F334" s="32" t="s">
        <v>464</v>
      </c>
      <c r="G334" s="43">
        <v>46003</v>
      </c>
      <c r="H334" s="43">
        <v>46004</v>
      </c>
      <c r="I334" s="32" t="s">
        <v>481</v>
      </c>
      <c r="J334" s="33"/>
      <c r="K334" s="38"/>
    </row>
    <row r="335" spans="1:11" ht="16.5">
      <c r="A335" s="32"/>
      <c r="B335" s="11"/>
      <c r="C335" s="11" t="str">
        <f>A335&amp;B335</f>
        <v/>
      </c>
      <c r="D335" s="32">
        <f>VLOOKUP($C335,Asignaturas!$C$5:$D$261,2,0)</f>
        <v>0</v>
      </c>
      <c r="E335" s="66" t="s">
        <v>491</v>
      </c>
      <c r="F335" s="32" t="s">
        <v>464</v>
      </c>
      <c r="G335" s="43">
        <v>46003</v>
      </c>
      <c r="H335" s="43">
        <v>46004</v>
      </c>
      <c r="I335" s="32" t="s">
        <v>481</v>
      </c>
      <c r="J335" s="33"/>
      <c r="K335" s="38"/>
    </row>
    <row r="336" spans="1:11" ht="16.5">
      <c r="A336" s="29"/>
      <c r="B336" s="11"/>
      <c r="C336" s="11" t="str">
        <f>A336&amp;B336</f>
        <v/>
      </c>
      <c r="D336" s="32">
        <f>VLOOKUP($C336,Asignaturas!$C$5:$D$261,2,0)</f>
        <v>0</v>
      </c>
      <c r="E336" s="66" t="s">
        <v>491</v>
      </c>
      <c r="F336" s="32" t="s">
        <v>464</v>
      </c>
      <c r="G336" s="43">
        <v>46003</v>
      </c>
      <c r="H336" s="43">
        <v>46004</v>
      </c>
      <c r="I336" s="32" t="s">
        <v>481</v>
      </c>
      <c r="J336" s="33"/>
      <c r="K336" s="38"/>
    </row>
    <row r="337" spans="1:11" ht="16.5">
      <c r="A337" s="29"/>
      <c r="B337" s="11"/>
      <c r="C337" s="11" t="str">
        <f>A337&amp;B337</f>
        <v/>
      </c>
      <c r="D337" s="32">
        <f>VLOOKUP($C337,Asignaturas!$C$5:$D$261,2,0)</f>
        <v>0</v>
      </c>
      <c r="E337" s="66" t="s">
        <v>491</v>
      </c>
      <c r="F337" s="32" t="s">
        <v>464</v>
      </c>
      <c r="G337" s="43">
        <v>46003</v>
      </c>
      <c r="H337" s="43">
        <v>46004</v>
      </c>
      <c r="I337" s="32" t="s">
        <v>481</v>
      </c>
      <c r="J337" s="33"/>
      <c r="K337" s="38"/>
    </row>
    <row r="338" spans="1:11" ht="16.5">
      <c r="A338" s="32"/>
      <c r="B338" s="11"/>
      <c r="C338" s="11" t="str">
        <f>A338&amp;B338</f>
        <v/>
      </c>
      <c r="D338" s="32">
        <f>VLOOKUP($C338,Asignaturas!$C$5:$D$261,2,0)</f>
        <v>0</v>
      </c>
      <c r="E338" s="66" t="s">
        <v>491</v>
      </c>
      <c r="F338" s="32" t="s">
        <v>464</v>
      </c>
      <c r="G338" s="43">
        <v>46003</v>
      </c>
      <c r="H338" s="43">
        <v>46004</v>
      </c>
      <c r="I338" s="32" t="s">
        <v>481</v>
      </c>
      <c r="J338" s="33"/>
      <c r="K338" s="38"/>
    </row>
    <row r="339" spans="1:11" ht="16.5">
      <c r="A339" s="32"/>
      <c r="B339" s="11"/>
      <c r="C339" s="11" t="str">
        <f>A339&amp;B339</f>
        <v/>
      </c>
      <c r="D339" s="32">
        <f>VLOOKUP($C339,Asignaturas!$C$5:$D$261,2,0)</f>
        <v>0</v>
      </c>
      <c r="E339" s="66" t="s">
        <v>491</v>
      </c>
      <c r="F339" s="32" t="s">
        <v>464</v>
      </c>
      <c r="G339" s="43">
        <v>46003</v>
      </c>
      <c r="H339" s="43">
        <v>46004</v>
      </c>
      <c r="I339" s="32" t="s">
        <v>481</v>
      </c>
      <c r="J339" s="33"/>
      <c r="K339" s="38"/>
    </row>
    <row r="340" spans="1:11" ht="16.5">
      <c r="A340" s="32"/>
      <c r="B340" s="11"/>
      <c r="C340" s="11" t="str">
        <f>A340&amp;B340</f>
        <v/>
      </c>
      <c r="D340" s="32">
        <f>VLOOKUP($C340,Asignaturas!$C$5:$D$261,2,0)</f>
        <v>0</v>
      </c>
      <c r="E340" s="66" t="s">
        <v>491</v>
      </c>
      <c r="F340" s="32" t="s">
        <v>464</v>
      </c>
      <c r="G340" s="43">
        <v>46003</v>
      </c>
      <c r="H340" s="43">
        <v>46004</v>
      </c>
      <c r="I340" s="32" t="s">
        <v>481</v>
      </c>
      <c r="J340" s="33"/>
      <c r="K340" s="38"/>
    </row>
    <row r="341" spans="1:11" ht="16.5">
      <c r="A341" s="32"/>
      <c r="B341" s="11"/>
      <c r="C341" s="11" t="str">
        <f>A341&amp;B341</f>
        <v/>
      </c>
      <c r="D341" s="32">
        <f>VLOOKUP($C341,Asignaturas!$C$5:$D$261,2,0)</f>
        <v>0</v>
      </c>
      <c r="E341" s="66" t="s">
        <v>491</v>
      </c>
      <c r="F341" s="32" t="s">
        <v>464</v>
      </c>
      <c r="G341" s="43">
        <v>46003</v>
      </c>
      <c r="H341" s="43">
        <v>46004</v>
      </c>
      <c r="I341" s="32" t="s">
        <v>481</v>
      </c>
      <c r="J341" s="33"/>
      <c r="K341" s="38"/>
    </row>
    <row r="342" spans="1:11" ht="16.5">
      <c r="A342" s="32"/>
      <c r="B342" s="11"/>
      <c r="C342" s="11" t="str">
        <f>A342&amp;B342</f>
        <v/>
      </c>
      <c r="D342" s="32">
        <f>VLOOKUP($C342,Asignaturas!$C$5:$D$261,2,0)</f>
        <v>0</v>
      </c>
      <c r="E342" s="66" t="s">
        <v>491</v>
      </c>
      <c r="F342" s="32" t="s">
        <v>464</v>
      </c>
      <c r="G342" s="43">
        <v>46003</v>
      </c>
      <c r="H342" s="43">
        <v>46004</v>
      </c>
      <c r="I342" s="32" t="s">
        <v>481</v>
      </c>
      <c r="J342" s="33"/>
      <c r="K342" s="38"/>
    </row>
    <row r="343" spans="1:11" ht="16.5">
      <c r="A343" s="32"/>
      <c r="B343" s="11"/>
      <c r="C343" s="11" t="str">
        <f>A343&amp;B343</f>
        <v/>
      </c>
      <c r="D343" s="32">
        <f>VLOOKUP($C343,Asignaturas!$C$5:$D$261,2,0)</f>
        <v>0</v>
      </c>
      <c r="E343" s="66" t="s">
        <v>491</v>
      </c>
      <c r="F343" s="32" t="s">
        <v>464</v>
      </c>
      <c r="G343" s="43">
        <v>46003</v>
      </c>
      <c r="H343" s="43">
        <v>46004</v>
      </c>
      <c r="I343" s="32" t="s">
        <v>481</v>
      </c>
      <c r="J343" s="33"/>
      <c r="K343" s="38"/>
    </row>
    <row r="344" spans="1:11" ht="16.5">
      <c r="A344" s="32"/>
      <c r="B344" s="11"/>
      <c r="C344" s="11" t="str">
        <f>A344&amp;B344</f>
        <v/>
      </c>
      <c r="D344" s="32">
        <f>VLOOKUP($C344,Asignaturas!$C$5:$D$261,2,0)</f>
        <v>0</v>
      </c>
      <c r="E344" s="66" t="s">
        <v>491</v>
      </c>
      <c r="F344" s="32" t="s">
        <v>471</v>
      </c>
      <c r="G344" s="43">
        <v>46003</v>
      </c>
      <c r="H344" s="43">
        <v>46006</v>
      </c>
      <c r="I344" s="32" t="s">
        <v>481</v>
      </c>
      <c r="J344" s="33"/>
      <c r="K344" s="38"/>
    </row>
    <row r="345" spans="1:11" ht="16.5">
      <c r="A345" s="32"/>
      <c r="B345" s="11"/>
      <c r="C345" s="11" t="str">
        <f>A345&amp;B345</f>
        <v/>
      </c>
      <c r="D345" s="32">
        <f>VLOOKUP($C345,Asignaturas!$C$5:$D$261,2,0)</f>
        <v>0</v>
      </c>
      <c r="E345" s="66" t="s">
        <v>484</v>
      </c>
      <c r="F345" s="32" t="s">
        <v>471</v>
      </c>
      <c r="G345" s="43">
        <v>46003</v>
      </c>
      <c r="H345" s="43">
        <v>46006</v>
      </c>
      <c r="I345" s="32" t="s">
        <v>481</v>
      </c>
      <c r="J345" s="33"/>
      <c r="K345" s="38"/>
    </row>
    <row r="346" spans="1:11" ht="16.5">
      <c r="A346" s="32"/>
      <c r="B346" s="11"/>
      <c r="C346" s="11" t="str">
        <f>A346&amp;B346</f>
        <v/>
      </c>
      <c r="D346" s="32">
        <f>VLOOKUP($C346,Asignaturas!$C$5:$D$261,2,0)</f>
        <v>0</v>
      </c>
      <c r="E346" s="66" t="s">
        <v>491</v>
      </c>
      <c r="F346" s="32" t="s">
        <v>471</v>
      </c>
      <c r="G346" s="43">
        <v>46003</v>
      </c>
      <c r="H346" s="43">
        <v>46006</v>
      </c>
      <c r="I346" s="32" t="s">
        <v>481</v>
      </c>
      <c r="J346" s="33"/>
      <c r="K346" s="38"/>
    </row>
    <row r="347" spans="1:11" ht="16.5">
      <c r="A347" s="32"/>
      <c r="B347" s="11"/>
      <c r="C347" s="11" t="str">
        <f>A347&amp;B347</f>
        <v/>
      </c>
      <c r="D347" s="32">
        <f>VLOOKUP($C347,Asignaturas!$C$5:$D$261,2,0)</f>
        <v>0</v>
      </c>
      <c r="E347" s="66" t="s">
        <v>491</v>
      </c>
      <c r="F347" s="32" t="s">
        <v>471</v>
      </c>
      <c r="G347" s="43">
        <v>46003</v>
      </c>
      <c r="H347" s="43">
        <v>46006</v>
      </c>
      <c r="I347" s="32" t="s">
        <v>481</v>
      </c>
      <c r="J347" s="33"/>
      <c r="K347" s="38"/>
    </row>
    <row r="348" spans="1:11" ht="16.5">
      <c r="A348" s="32"/>
      <c r="B348" s="11"/>
      <c r="C348" s="11" t="str">
        <f>A348&amp;B348</f>
        <v/>
      </c>
      <c r="D348" s="32">
        <f>VLOOKUP($C348,Asignaturas!$C$5:$D$261,2,0)</f>
        <v>0</v>
      </c>
      <c r="E348" s="66" t="s">
        <v>491</v>
      </c>
      <c r="F348" s="32" t="s">
        <v>471</v>
      </c>
      <c r="G348" s="43">
        <v>46003</v>
      </c>
      <c r="H348" s="43">
        <v>46006</v>
      </c>
      <c r="I348" s="32" t="s">
        <v>481</v>
      </c>
      <c r="J348" s="33"/>
      <c r="K348" s="38"/>
    </row>
    <row r="349" spans="1:11" ht="16.5">
      <c r="A349" s="32"/>
      <c r="B349" s="11"/>
      <c r="C349" s="11" t="str">
        <f>A349&amp;B349</f>
        <v/>
      </c>
      <c r="D349" s="32">
        <f>VLOOKUP($C349,Asignaturas!$C$5:$D$261,2,0)</f>
        <v>0</v>
      </c>
      <c r="E349" s="67" t="s">
        <v>491</v>
      </c>
      <c r="F349" s="32" t="s">
        <v>471</v>
      </c>
      <c r="G349" s="43">
        <v>46003</v>
      </c>
      <c r="H349" s="43">
        <v>46006</v>
      </c>
      <c r="I349" s="32" t="s">
        <v>481</v>
      </c>
      <c r="J349" s="33"/>
      <c r="K349" s="38"/>
    </row>
    <row r="350" spans="1:11" ht="16.5">
      <c r="A350" s="32"/>
      <c r="B350" s="11"/>
      <c r="C350" s="11" t="str">
        <f>A350&amp;B350</f>
        <v/>
      </c>
      <c r="D350" s="32">
        <f>VLOOKUP($C350,Asignaturas!$C$5:$D$261,2,0)</f>
        <v>0</v>
      </c>
      <c r="E350" s="67" t="s">
        <v>491</v>
      </c>
      <c r="F350" s="32" t="s">
        <v>471</v>
      </c>
      <c r="G350" s="43">
        <v>46003</v>
      </c>
      <c r="H350" s="43">
        <v>46006</v>
      </c>
      <c r="I350" s="32" t="s">
        <v>481</v>
      </c>
      <c r="J350" s="33"/>
      <c r="K350" s="38"/>
    </row>
    <row r="351" spans="1:11" ht="16.5">
      <c r="A351" s="32"/>
      <c r="B351" s="11"/>
      <c r="C351" s="11" t="str">
        <f>A351&amp;B351</f>
        <v/>
      </c>
      <c r="D351" s="32">
        <f>VLOOKUP($C351,Asignaturas!$C$5:$D$261,2,0)</f>
        <v>0</v>
      </c>
      <c r="E351" s="67" t="s">
        <v>491</v>
      </c>
      <c r="F351" s="32" t="s">
        <v>471</v>
      </c>
      <c r="G351" s="43">
        <v>46003</v>
      </c>
      <c r="H351" s="43">
        <v>46006</v>
      </c>
      <c r="I351" s="32" t="s">
        <v>481</v>
      </c>
      <c r="J351" s="33"/>
      <c r="K351" s="38"/>
    </row>
    <row r="352" spans="1:11" ht="16.5">
      <c r="A352" s="32"/>
      <c r="B352" s="11"/>
      <c r="C352" s="11" t="str">
        <f>A352&amp;B352</f>
        <v/>
      </c>
      <c r="D352" s="32">
        <f>VLOOKUP($C352,Asignaturas!$C$5:$D$261,2,0)</f>
        <v>0</v>
      </c>
      <c r="E352" s="67" t="s">
        <v>491</v>
      </c>
      <c r="F352" s="32" t="s">
        <v>464</v>
      </c>
      <c r="G352" s="39">
        <v>46004</v>
      </c>
      <c r="H352" s="43">
        <v>46006</v>
      </c>
      <c r="I352" s="32" t="s">
        <v>481</v>
      </c>
      <c r="J352" s="33"/>
      <c r="K352" s="38"/>
    </row>
    <row r="353" spans="1:11" ht="16.5">
      <c r="A353" s="32"/>
      <c r="B353" s="11"/>
      <c r="C353" s="11" t="str">
        <f>A353&amp;B353</f>
        <v/>
      </c>
      <c r="D353" s="32">
        <f>VLOOKUP($C353,Asignaturas!$C$5:$D$261,2,0)</f>
        <v>0</v>
      </c>
      <c r="E353" s="67" t="s">
        <v>491</v>
      </c>
      <c r="F353" s="32" t="s">
        <v>464</v>
      </c>
      <c r="G353" s="39">
        <v>46004</v>
      </c>
      <c r="H353" s="43">
        <v>46006</v>
      </c>
      <c r="I353" s="32" t="s">
        <v>481</v>
      </c>
      <c r="J353" s="33"/>
      <c r="K353" s="38"/>
    </row>
    <row r="354" spans="1:11" ht="16.5">
      <c r="A354" s="32"/>
      <c r="B354" s="11"/>
      <c r="C354" s="11" t="str">
        <f>A354&amp;B354</f>
        <v/>
      </c>
      <c r="D354" s="32">
        <f>VLOOKUP($C354,Asignaturas!$C$5:$D$261,2,0)</f>
        <v>0</v>
      </c>
      <c r="E354" s="67" t="s">
        <v>491</v>
      </c>
      <c r="F354" s="32" t="s">
        <v>464</v>
      </c>
      <c r="G354" s="39">
        <v>46004</v>
      </c>
      <c r="H354" s="43">
        <v>46006</v>
      </c>
      <c r="I354" s="32" t="s">
        <v>481</v>
      </c>
      <c r="J354" s="33"/>
      <c r="K354" s="38"/>
    </row>
    <row r="355" spans="1:11" ht="16.5">
      <c r="A355" s="32"/>
      <c r="B355" s="11"/>
      <c r="C355" s="11" t="str">
        <f>A355&amp;B355</f>
        <v/>
      </c>
      <c r="D355" s="32">
        <f>VLOOKUP($C355,Asignaturas!$C$5:$D$261,2,0)</f>
        <v>0</v>
      </c>
      <c r="E355" s="67" t="s">
        <v>491</v>
      </c>
      <c r="F355" s="32" t="s">
        <v>464</v>
      </c>
      <c r="G355" s="39">
        <v>46004</v>
      </c>
      <c r="H355" s="43">
        <v>46006</v>
      </c>
      <c r="I355" s="32" t="s">
        <v>481</v>
      </c>
      <c r="J355" s="33"/>
      <c r="K355" s="38"/>
    </row>
    <row r="356" spans="1:11" ht="16.5">
      <c r="A356" s="32"/>
      <c r="B356" s="11"/>
      <c r="C356" s="11" t="str">
        <f>A356&amp;B356</f>
        <v/>
      </c>
      <c r="D356" s="32">
        <f>VLOOKUP($C356,Asignaturas!$C$5:$D$261,2,0)</f>
        <v>0</v>
      </c>
      <c r="E356" s="67" t="s">
        <v>491</v>
      </c>
      <c r="F356" s="32" t="s">
        <v>464</v>
      </c>
      <c r="G356" s="39">
        <v>46006</v>
      </c>
      <c r="H356" s="43">
        <v>46007</v>
      </c>
      <c r="I356" s="32" t="s">
        <v>481</v>
      </c>
      <c r="J356" s="33"/>
      <c r="K356" s="38"/>
    </row>
    <row r="357" spans="1:11" ht="16.5">
      <c r="A357" s="32"/>
      <c r="B357" s="11"/>
      <c r="C357" s="11" t="str">
        <f>A357&amp;B357</f>
        <v/>
      </c>
      <c r="D357" s="32">
        <f>VLOOKUP($C357,Asignaturas!$C$5:$D$261,2,0)</f>
        <v>0</v>
      </c>
      <c r="E357" s="67" t="s">
        <v>491</v>
      </c>
      <c r="F357" s="32" t="s">
        <v>464</v>
      </c>
      <c r="G357" s="39">
        <v>46006</v>
      </c>
      <c r="H357" s="43">
        <v>46007</v>
      </c>
      <c r="I357" s="32" t="s">
        <v>481</v>
      </c>
      <c r="J357" s="33"/>
      <c r="K357" s="38"/>
    </row>
    <row r="358" spans="1:11" ht="16.5">
      <c r="A358" s="32"/>
      <c r="B358" s="11"/>
      <c r="C358" s="11" t="str">
        <f>A358&amp;B358</f>
        <v/>
      </c>
      <c r="D358" s="32">
        <f>VLOOKUP($C358,Asignaturas!$C$5:$D$261,2,0)</f>
        <v>0</v>
      </c>
      <c r="E358" s="66" t="s">
        <v>535</v>
      </c>
      <c r="F358" s="32" t="s">
        <v>464</v>
      </c>
      <c r="G358" s="39">
        <v>46006</v>
      </c>
      <c r="H358" s="43">
        <v>46007</v>
      </c>
      <c r="I358" s="32" t="s">
        <v>481</v>
      </c>
      <c r="J358" s="33"/>
      <c r="K358" s="38"/>
    </row>
    <row r="359" spans="1:11" ht="16.5">
      <c r="A359" s="32"/>
      <c r="B359" s="11"/>
      <c r="C359" s="11" t="str">
        <f>A359&amp;B359</f>
        <v/>
      </c>
      <c r="D359" s="32">
        <f>VLOOKUP($C359,Asignaturas!$C$5:$D$261,2,0)</f>
        <v>0</v>
      </c>
      <c r="E359" s="66" t="s">
        <v>535</v>
      </c>
      <c r="F359" s="32" t="s">
        <v>464</v>
      </c>
      <c r="G359" s="39">
        <v>46006</v>
      </c>
      <c r="H359" s="43">
        <v>46007</v>
      </c>
      <c r="I359" s="32" t="s">
        <v>481</v>
      </c>
      <c r="J359" s="33"/>
      <c r="K359" s="38"/>
    </row>
    <row r="360" spans="1:11" ht="16.5">
      <c r="A360" s="32"/>
      <c r="B360" s="11"/>
      <c r="C360" s="11" t="str">
        <f>A360&amp;B360</f>
        <v/>
      </c>
      <c r="D360" s="32">
        <f>VLOOKUP($C360,Asignaturas!$C$5:$D$261,2,0)</f>
        <v>0</v>
      </c>
      <c r="E360" s="66" t="s">
        <v>491</v>
      </c>
      <c r="F360" s="32" t="s">
        <v>464</v>
      </c>
      <c r="G360" s="39">
        <v>46006</v>
      </c>
      <c r="H360" s="43">
        <v>46007</v>
      </c>
      <c r="I360" s="32" t="s">
        <v>481</v>
      </c>
      <c r="J360" s="33"/>
      <c r="K360" s="38"/>
    </row>
    <row r="361" spans="1:11" ht="16.5">
      <c r="A361" s="32"/>
      <c r="B361" s="11"/>
      <c r="C361" s="11" t="str">
        <f>A361&amp;B361</f>
        <v/>
      </c>
      <c r="D361" s="32">
        <f>VLOOKUP($C361,Asignaturas!$C$5:$D$261,2,0)</f>
        <v>0</v>
      </c>
      <c r="E361" s="66" t="s">
        <v>491</v>
      </c>
      <c r="F361" s="32" t="s">
        <v>464</v>
      </c>
      <c r="G361" s="39">
        <v>46006</v>
      </c>
      <c r="H361" s="43">
        <v>46007</v>
      </c>
      <c r="I361" s="32" t="s">
        <v>481</v>
      </c>
      <c r="J361" s="33"/>
      <c r="K361" s="38"/>
    </row>
    <row r="362" spans="1:11" ht="16.5">
      <c r="A362" s="32"/>
      <c r="B362" s="11"/>
      <c r="C362" s="11" t="str">
        <f>A362&amp;B362</f>
        <v/>
      </c>
      <c r="D362" s="32">
        <f>VLOOKUP($C362,Asignaturas!$C$5:$D$261,2,0)</f>
        <v>0</v>
      </c>
      <c r="E362" s="66" t="s">
        <v>535</v>
      </c>
      <c r="F362" s="32" t="s">
        <v>464</v>
      </c>
      <c r="G362" s="39">
        <v>46006</v>
      </c>
      <c r="H362" s="43">
        <v>46007</v>
      </c>
      <c r="I362" s="32" t="s">
        <v>481</v>
      </c>
      <c r="J362" s="33"/>
      <c r="K362" s="38"/>
    </row>
    <row r="363" spans="1:11" ht="16.5">
      <c r="A363" s="32"/>
      <c r="B363" s="11"/>
      <c r="C363" s="11" t="str">
        <f t="shared" ref="C363:C365" si="7">A363&amp;B363</f>
        <v/>
      </c>
      <c r="D363" s="32">
        <f>VLOOKUP($C363,Asignaturas!$C$5:$D$261,2,0)</f>
        <v>0</v>
      </c>
      <c r="E363" s="66" t="s">
        <v>535</v>
      </c>
      <c r="F363" s="32" t="s">
        <v>464</v>
      </c>
      <c r="G363" s="39">
        <v>46006</v>
      </c>
      <c r="H363" s="43">
        <v>46007</v>
      </c>
      <c r="I363" s="32" t="s">
        <v>481</v>
      </c>
      <c r="J363" s="33"/>
      <c r="K363" s="38"/>
    </row>
    <row r="364" spans="1:11" ht="16.5">
      <c r="A364" s="32"/>
      <c r="B364" s="11"/>
      <c r="C364" s="11" t="str">
        <f t="shared" si="7"/>
        <v/>
      </c>
      <c r="D364" s="32">
        <f>VLOOKUP($C364,Asignaturas!$C$5:$D$261,2,0)</f>
        <v>0</v>
      </c>
      <c r="E364" s="66" t="s">
        <v>491</v>
      </c>
      <c r="F364" s="32" t="s">
        <v>464</v>
      </c>
      <c r="G364" s="39">
        <v>46006</v>
      </c>
      <c r="H364" s="43">
        <v>46007</v>
      </c>
      <c r="I364" s="32" t="s">
        <v>481</v>
      </c>
      <c r="J364" s="33"/>
      <c r="K364" s="38"/>
    </row>
    <row r="365" spans="1:11" ht="16.5">
      <c r="A365" s="32"/>
      <c r="B365" s="11"/>
      <c r="C365" s="11" t="str">
        <f t="shared" si="7"/>
        <v/>
      </c>
      <c r="D365" s="32">
        <f>VLOOKUP($C365,Asignaturas!$C$5:$D$261,2,0)</f>
        <v>0</v>
      </c>
      <c r="E365" s="66" t="s">
        <v>535</v>
      </c>
      <c r="F365" s="32" t="s">
        <v>464</v>
      </c>
      <c r="G365" s="39">
        <v>46006</v>
      </c>
      <c r="H365" s="43">
        <v>46007</v>
      </c>
      <c r="I365" s="32" t="s">
        <v>481</v>
      </c>
      <c r="J365" s="33"/>
      <c r="K365" s="38"/>
    </row>
    <row r="366" spans="1:11" ht="16.5">
      <c r="A366" s="32"/>
      <c r="B366" s="11"/>
      <c r="C366" s="11" t="str">
        <f>A366&amp;B366</f>
        <v/>
      </c>
      <c r="D366" s="32">
        <f>VLOOKUP($C366,Asignaturas!$C$5:$D$261,2,0)</f>
        <v>0</v>
      </c>
      <c r="E366" s="66" t="s">
        <v>535</v>
      </c>
      <c r="F366" s="32" t="s">
        <v>464</v>
      </c>
      <c r="G366" s="39">
        <v>46006</v>
      </c>
      <c r="H366" s="43">
        <v>46007</v>
      </c>
      <c r="I366" s="32" t="s">
        <v>481</v>
      </c>
      <c r="J366" s="33"/>
      <c r="K366" s="38"/>
    </row>
    <row r="367" spans="1:11" ht="16.5">
      <c r="A367" s="32"/>
      <c r="B367" s="11"/>
      <c r="C367" s="11" t="str">
        <f>A367&amp;B367</f>
        <v/>
      </c>
      <c r="D367" s="32">
        <f>VLOOKUP($C367,Asignaturas!$C$5:$D$261,2,0)</f>
        <v>0</v>
      </c>
      <c r="E367" s="66" t="s">
        <v>535</v>
      </c>
      <c r="F367" s="32" t="s">
        <v>464</v>
      </c>
      <c r="G367" s="39">
        <v>46006</v>
      </c>
      <c r="H367" s="43">
        <v>46007</v>
      </c>
      <c r="I367" s="32" t="s">
        <v>481</v>
      </c>
      <c r="J367" s="33"/>
      <c r="K367" s="38"/>
    </row>
    <row r="368" spans="1:11" ht="16.5">
      <c r="A368" s="32"/>
      <c r="B368" s="11"/>
      <c r="C368" s="11" t="str">
        <f>A368&amp;B368</f>
        <v/>
      </c>
      <c r="D368" s="32">
        <f>VLOOKUP($C368,Asignaturas!$C$5:$D$261,2,0)</f>
        <v>0</v>
      </c>
      <c r="E368" s="66" t="s">
        <v>535</v>
      </c>
      <c r="F368" s="32" t="s">
        <v>464</v>
      </c>
      <c r="G368" s="39">
        <v>46006</v>
      </c>
      <c r="H368" s="43">
        <v>46007</v>
      </c>
      <c r="I368" s="32" t="s">
        <v>481</v>
      </c>
      <c r="J368" s="33"/>
      <c r="K368" s="38"/>
    </row>
    <row r="369" spans="1:11" ht="16.5">
      <c r="A369" s="32"/>
      <c r="B369" s="11"/>
      <c r="C369" s="11" t="str">
        <f>A369&amp;B369</f>
        <v/>
      </c>
      <c r="D369" s="32">
        <f>VLOOKUP($C369,Asignaturas!$C$5:$D$261,2,0)</f>
        <v>0</v>
      </c>
      <c r="E369" s="66" t="s">
        <v>491</v>
      </c>
      <c r="F369" s="32" t="s">
        <v>464</v>
      </c>
      <c r="G369" s="39">
        <v>46006</v>
      </c>
      <c r="H369" s="43">
        <v>46007</v>
      </c>
      <c r="I369" s="32" t="s">
        <v>481</v>
      </c>
      <c r="J369" s="33"/>
      <c r="K369" s="38"/>
    </row>
    <row r="370" spans="1:11" ht="16.5">
      <c r="A370" s="32"/>
      <c r="B370" s="11"/>
      <c r="C370" s="11" t="str">
        <f>A370&amp;B370</f>
        <v/>
      </c>
      <c r="D370" s="32">
        <f>VLOOKUP($C370,Asignaturas!$C$5:$D$261,2,0)</f>
        <v>0</v>
      </c>
      <c r="E370" s="66" t="s">
        <v>491</v>
      </c>
      <c r="F370" s="32" t="s">
        <v>464</v>
      </c>
      <c r="G370" s="39">
        <v>46006</v>
      </c>
      <c r="H370" s="43">
        <v>46007</v>
      </c>
      <c r="I370" s="32" t="s">
        <v>481</v>
      </c>
      <c r="J370" s="33"/>
      <c r="K370" s="38"/>
    </row>
    <row r="371" spans="1:11" ht="16.5">
      <c r="A371" s="32"/>
      <c r="B371" s="11"/>
      <c r="C371" s="11" t="str">
        <f>A371&amp;B371</f>
        <v/>
      </c>
      <c r="D371" s="32">
        <f>VLOOKUP($C371,Asignaturas!$C$5:$D$261,2,0)</f>
        <v>0</v>
      </c>
      <c r="E371" s="66" t="s">
        <v>491</v>
      </c>
      <c r="F371" s="32" t="s">
        <v>464</v>
      </c>
      <c r="G371" s="39">
        <v>46006</v>
      </c>
      <c r="H371" s="43">
        <v>46007</v>
      </c>
      <c r="I371" s="32" t="s">
        <v>481</v>
      </c>
      <c r="J371" s="33"/>
      <c r="K371" s="38"/>
    </row>
    <row r="372" spans="1:11" ht="16.5">
      <c r="A372" s="32"/>
      <c r="B372" s="11"/>
      <c r="C372" s="11" t="str">
        <f>A372&amp;B372</f>
        <v/>
      </c>
      <c r="D372" s="32">
        <f>VLOOKUP($C372,Asignaturas!$C$5:$D$261,2,0)</f>
        <v>0</v>
      </c>
      <c r="E372" s="66" t="s">
        <v>535</v>
      </c>
      <c r="F372" s="32" t="s">
        <v>464</v>
      </c>
      <c r="G372" s="39">
        <v>46006</v>
      </c>
      <c r="H372" s="43">
        <v>46007</v>
      </c>
      <c r="I372" s="32" t="s">
        <v>481</v>
      </c>
      <c r="J372" s="33"/>
      <c r="K372" s="38"/>
    </row>
    <row r="373" spans="1:11" ht="16.5">
      <c r="A373" s="32"/>
      <c r="B373" s="11"/>
      <c r="C373" s="11" t="str">
        <f>A373&amp;B373</f>
        <v/>
      </c>
      <c r="D373" s="32">
        <f>VLOOKUP($C373,Asignaturas!$C$5:$D$261,2,0)</f>
        <v>0</v>
      </c>
      <c r="E373" s="66" t="s">
        <v>491</v>
      </c>
      <c r="F373" s="32" t="s">
        <v>464</v>
      </c>
      <c r="G373" s="39">
        <v>46006</v>
      </c>
      <c r="H373" s="43">
        <v>46007</v>
      </c>
      <c r="I373" s="32" t="s">
        <v>481</v>
      </c>
      <c r="J373" s="33"/>
      <c r="K373" s="38"/>
    </row>
    <row r="374" spans="1:11" ht="16.5">
      <c r="A374" s="32"/>
      <c r="B374" s="11"/>
      <c r="C374" s="11" t="str">
        <f>A374&amp;B374</f>
        <v/>
      </c>
      <c r="D374" s="32">
        <f>VLOOKUP($C374,Asignaturas!$C$5:$D$261,2,0)</f>
        <v>0</v>
      </c>
      <c r="E374" s="66" t="s">
        <v>491</v>
      </c>
      <c r="F374" s="32" t="s">
        <v>464</v>
      </c>
      <c r="G374" s="39">
        <v>46006</v>
      </c>
      <c r="H374" s="43">
        <v>46007</v>
      </c>
      <c r="I374" s="32" t="s">
        <v>481</v>
      </c>
      <c r="J374" s="33"/>
      <c r="K374" s="38"/>
    </row>
    <row r="375" spans="1:11" ht="16.5">
      <c r="A375" s="32"/>
      <c r="B375" s="11"/>
      <c r="C375" s="11" t="str">
        <f>A375&amp;B375</f>
        <v/>
      </c>
      <c r="D375" s="32">
        <f>VLOOKUP($C375,Asignaturas!$C$5:$D$261,2,0)</f>
        <v>0</v>
      </c>
      <c r="E375" s="66" t="s">
        <v>535</v>
      </c>
      <c r="F375" s="32" t="s">
        <v>471</v>
      </c>
      <c r="G375" s="39">
        <v>46006</v>
      </c>
      <c r="H375" s="43">
        <v>46007</v>
      </c>
      <c r="I375" s="32" t="s">
        <v>482</v>
      </c>
      <c r="J375" s="33"/>
      <c r="K375" s="38"/>
    </row>
    <row r="376" spans="1:11" ht="16.5">
      <c r="A376" s="32"/>
      <c r="B376" s="11"/>
      <c r="C376" s="11" t="str">
        <f>A376&amp;B376</f>
        <v/>
      </c>
      <c r="D376" s="32">
        <f>VLOOKUP($C376,Asignaturas!$C$5:$D$261,2,0)</f>
        <v>0</v>
      </c>
      <c r="E376" s="66" t="s">
        <v>535</v>
      </c>
      <c r="F376" s="32" t="s">
        <v>464</v>
      </c>
      <c r="G376" s="39">
        <v>46006</v>
      </c>
      <c r="H376" s="39">
        <v>46007</v>
      </c>
      <c r="I376" s="32" t="s">
        <v>481</v>
      </c>
      <c r="J376" s="33"/>
      <c r="K376" s="38"/>
    </row>
    <row r="377" spans="1:11" ht="16.5">
      <c r="A377" s="32"/>
      <c r="B377" s="11"/>
      <c r="C377" s="11" t="str">
        <f>A377&amp;B377</f>
        <v/>
      </c>
      <c r="D377" s="32">
        <f>VLOOKUP($C377,Asignaturas!$C$5:$D$261,2,0)</f>
        <v>0</v>
      </c>
      <c r="E377" s="66" t="s">
        <v>491</v>
      </c>
      <c r="F377" s="32" t="s">
        <v>464</v>
      </c>
      <c r="G377" s="39">
        <v>46007</v>
      </c>
      <c r="H377" s="39">
        <v>46008</v>
      </c>
      <c r="I377" s="32" t="s">
        <v>481</v>
      </c>
      <c r="J377" s="33"/>
      <c r="K377" s="38"/>
    </row>
    <row r="378" spans="1:11" ht="16.5">
      <c r="A378" s="32"/>
      <c r="B378" s="11"/>
      <c r="C378" s="11" t="str">
        <f>A378&amp;B378</f>
        <v/>
      </c>
      <c r="D378" s="32">
        <f>VLOOKUP($C378,Asignaturas!$C$5:$D$261,2,0)</f>
        <v>0</v>
      </c>
      <c r="E378" s="66" t="s">
        <v>535</v>
      </c>
      <c r="F378" s="32" t="s">
        <v>471</v>
      </c>
      <c r="G378" s="39">
        <v>46007</v>
      </c>
      <c r="H378" s="39">
        <v>46008</v>
      </c>
      <c r="I378" s="32" t="s">
        <v>482</v>
      </c>
      <c r="J378" s="33"/>
      <c r="K378" s="38"/>
    </row>
    <row r="379" spans="1:11" ht="16.5">
      <c r="A379" s="32"/>
      <c r="B379" s="11"/>
      <c r="C379" s="11" t="str">
        <f>A379&amp;B379</f>
        <v/>
      </c>
      <c r="D379" s="32">
        <f>VLOOKUP($C379,Asignaturas!$C$5:$D$261,2,0)</f>
        <v>0</v>
      </c>
      <c r="E379" s="66" t="s">
        <v>535</v>
      </c>
      <c r="F379" s="32" t="s">
        <v>471</v>
      </c>
      <c r="G379" s="39">
        <v>46007</v>
      </c>
      <c r="H379" s="39">
        <v>46008</v>
      </c>
      <c r="I379" s="32" t="s">
        <v>482</v>
      </c>
      <c r="J379" s="33"/>
      <c r="K379" s="38"/>
    </row>
    <row r="380" spans="1:11" ht="16.5">
      <c r="A380" s="32"/>
      <c r="B380" s="11"/>
      <c r="C380" s="11" t="str">
        <f>A380&amp;B380</f>
        <v/>
      </c>
      <c r="D380" s="32">
        <f>VLOOKUP($C380,Asignaturas!$C$5:$D$261,2,0)</f>
        <v>0</v>
      </c>
      <c r="E380" s="66" t="s">
        <v>535</v>
      </c>
      <c r="F380" s="32" t="s">
        <v>471</v>
      </c>
      <c r="G380" s="39">
        <v>46007</v>
      </c>
      <c r="H380" s="39">
        <v>46008</v>
      </c>
      <c r="I380" s="32" t="s">
        <v>482</v>
      </c>
      <c r="J380" s="33"/>
      <c r="K380" s="38"/>
    </row>
    <row r="381" spans="1:11" ht="16.5">
      <c r="A381" s="32"/>
      <c r="B381" s="11"/>
      <c r="C381" s="11" t="str">
        <f>A381&amp;B381</f>
        <v/>
      </c>
      <c r="D381" s="32">
        <f>VLOOKUP($C381,Asignaturas!$C$5:$D$261,2,0)</f>
        <v>0</v>
      </c>
      <c r="E381" s="66" t="s">
        <v>535</v>
      </c>
      <c r="F381" s="32" t="s">
        <v>471</v>
      </c>
      <c r="G381" s="39">
        <v>46007</v>
      </c>
      <c r="H381" s="39">
        <v>46008</v>
      </c>
      <c r="I381" s="32" t="s">
        <v>482</v>
      </c>
      <c r="J381" s="33"/>
      <c r="K381" s="38"/>
    </row>
    <row r="382" spans="1:11" ht="16.5">
      <c r="A382" s="32"/>
      <c r="B382" s="11"/>
      <c r="C382" s="11" t="str">
        <f>A382&amp;B382</f>
        <v/>
      </c>
      <c r="D382" s="32">
        <f>VLOOKUP($C382,Asignaturas!$C$5:$D$261,2,0)</f>
        <v>0</v>
      </c>
      <c r="E382" s="67" t="s">
        <v>535</v>
      </c>
      <c r="F382" s="32" t="s">
        <v>471</v>
      </c>
      <c r="G382" s="39">
        <v>46007</v>
      </c>
      <c r="H382" s="39">
        <v>46008</v>
      </c>
      <c r="I382" s="32" t="s">
        <v>482</v>
      </c>
      <c r="J382" s="33"/>
      <c r="K382" s="38"/>
    </row>
    <row r="383" spans="1:11" ht="16.5">
      <c r="A383" s="32"/>
      <c r="B383" s="11"/>
      <c r="C383" s="11" t="str">
        <f>A383&amp;B383</f>
        <v/>
      </c>
      <c r="D383" s="32">
        <f>VLOOKUP($C383,Asignaturas!$C$5:$D$261,2,0)</f>
        <v>0</v>
      </c>
      <c r="E383" s="66" t="s">
        <v>535</v>
      </c>
      <c r="F383" s="32" t="s">
        <v>471</v>
      </c>
      <c r="G383" s="39">
        <v>46007</v>
      </c>
      <c r="H383" s="39">
        <v>46008</v>
      </c>
      <c r="I383" s="32" t="s">
        <v>482</v>
      </c>
      <c r="J383" s="33"/>
      <c r="K383" s="38"/>
    </row>
    <row r="384" spans="1:11" ht="16.5">
      <c r="A384" s="32"/>
      <c r="B384" s="11"/>
      <c r="C384" s="11" t="str">
        <f>A384&amp;B384</f>
        <v/>
      </c>
      <c r="D384" s="32">
        <f>VLOOKUP($C384,Asignaturas!$C$5:$D$261,2,0)</f>
        <v>0</v>
      </c>
      <c r="E384" s="66" t="s">
        <v>535</v>
      </c>
      <c r="F384" s="32" t="s">
        <v>471</v>
      </c>
      <c r="G384" s="39">
        <v>46007</v>
      </c>
      <c r="H384" s="39">
        <v>46008</v>
      </c>
      <c r="I384" s="32" t="s">
        <v>482</v>
      </c>
      <c r="J384" s="33"/>
      <c r="K384" s="38"/>
    </row>
    <row r="385" spans="1:11" ht="16.5">
      <c r="A385" s="32"/>
      <c r="B385" s="11"/>
      <c r="C385" s="11" t="str">
        <f>A385&amp;B385</f>
        <v/>
      </c>
      <c r="D385" s="32">
        <f>VLOOKUP($C385,Asignaturas!$C$5:$D$261,2,0)</f>
        <v>0</v>
      </c>
      <c r="E385" s="66" t="s">
        <v>535</v>
      </c>
      <c r="F385" s="32" t="s">
        <v>471</v>
      </c>
      <c r="G385" s="39">
        <v>46007</v>
      </c>
      <c r="H385" s="39">
        <v>46008</v>
      </c>
      <c r="I385" s="32" t="s">
        <v>482</v>
      </c>
      <c r="J385" s="33"/>
      <c r="K385" s="38"/>
    </row>
    <row r="386" spans="1:11" ht="16.5">
      <c r="A386" s="32"/>
      <c r="B386" s="11"/>
      <c r="C386" s="11" t="str">
        <f>A386&amp;B386</f>
        <v/>
      </c>
      <c r="D386" s="32">
        <f>VLOOKUP($C386,Asignaturas!$C$5:$D$261,2,0)</f>
        <v>0</v>
      </c>
      <c r="E386" s="66" t="s">
        <v>535</v>
      </c>
      <c r="F386" s="32" t="s">
        <v>471</v>
      </c>
      <c r="G386" s="39">
        <v>46007</v>
      </c>
      <c r="H386" s="39">
        <v>46008</v>
      </c>
      <c r="I386" s="32" t="s">
        <v>482</v>
      </c>
      <c r="J386" s="33"/>
      <c r="K386" s="38"/>
    </row>
    <row r="387" spans="1:11" ht="16.5">
      <c r="A387" s="32"/>
      <c r="B387" s="11"/>
      <c r="C387" s="11" t="str">
        <f>A387&amp;B387</f>
        <v/>
      </c>
      <c r="D387" s="32">
        <f>VLOOKUP($C387,Asignaturas!$C$5:$D$261,2,0)</f>
        <v>0</v>
      </c>
      <c r="E387" s="67" t="s">
        <v>535</v>
      </c>
      <c r="F387" s="32" t="s">
        <v>471</v>
      </c>
      <c r="G387" s="39">
        <v>46007</v>
      </c>
      <c r="H387" s="39">
        <v>46008</v>
      </c>
      <c r="I387" s="32" t="s">
        <v>482</v>
      </c>
      <c r="J387" s="33"/>
      <c r="K387" s="38"/>
    </row>
    <row r="388" spans="1:11" ht="16.5">
      <c r="A388" s="32"/>
      <c r="B388" s="11"/>
      <c r="C388" s="11" t="str">
        <f>A388&amp;B388</f>
        <v/>
      </c>
      <c r="D388" s="32">
        <f>VLOOKUP($C388,Asignaturas!$C$5:$D$261,2,0)</f>
        <v>0</v>
      </c>
      <c r="E388" s="66" t="s">
        <v>535</v>
      </c>
      <c r="F388" s="32" t="s">
        <v>471</v>
      </c>
      <c r="G388" s="39">
        <v>46007</v>
      </c>
      <c r="H388" s="39">
        <v>46008</v>
      </c>
      <c r="I388" s="32" t="s">
        <v>482</v>
      </c>
      <c r="J388" s="33"/>
      <c r="K388" s="38"/>
    </row>
    <row r="389" spans="1:11" ht="16.5">
      <c r="A389" s="32"/>
      <c r="B389" s="11"/>
      <c r="C389" s="11" t="str">
        <f>A389&amp;B389</f>
        <v/>
      </c>
      <c r="D389" s="32">
        <f>VLOOKUP($C389,Asignaturas!$C$5:$D$261,2,0)</f>
        <v>0</v>
      </c>
      <c r="E389" s="66" t="s">
        <v>535</v>
      </c>
      <c r="F389" s="32" t="s">
        <v>471</v>
      </c>
      <c r="G389" s="39">
        <v>46007</v>
      </c>
      <c r="H389" s="39">
        <v>46008</v>
      </c>
      <c r="I389" s="32" t="s">
        <v>482</v>
      </c>
      <c r="J389" s="33"/>
      <c r="K389" s="38"/>
    </row>
    <row r="390" spans="1:11" ht="16.5">
      <c r="A390" s="32"/>
      <c r="B390" s="11"/>
      <c r="C390" s="11" t="str">
        <f>A390&amp;B390</f>
        <v/>
      </c>
      <c r="D390" s="32">
        <f>VLOOKUP($C390,Asignaturas!$C$5:$D$261,2,0)</f>
        <v>0</v>
      </c>
      <c r="E390" s="66" t="s">
        <v>535</v>
      </c>
      <c r="F390" s="32" t="s">
        <v>471</v>
      </c>
      <c r="G390" s="39">
        <v>46007</v>
      </c>
      <c r="H390" s="39">
        <v>46008</v>
      </c>
      <c r="I390" s="32" t="s">
        <v>482</v>
      </c>
      <c r="J390" s="33"/>
      <c r="K390" s="38"/>
    </row>
    <row r="391" spans="1:11" ht="16.5">
      <c r="A391" s="32"/>
      <c r="B391" s="11"/>
      <c r="C391" s="11" t="str">
        <f>A391&amp;B391</f>
        <v/>
      </c>
      <c r="D391" s="32">
        <f>VLOOKUP($C391,Asignaturas!$C$5:$D$261,2,0)</f>
        <v>0</v>
      </c>
      <c r="E391" s="66" t="s">
        <v>535</v>
      </c>
      <c r="F391" s="32" t="s">
        <v>464</v>
      </c>
      <c r="G391" s="39">
        <v>46008</v>
      </c>
      <c r="H391" s="39">
        <v>46009</v>
      </c>
      <c r="I391" s="32" t="s">
        <v>481</v>
      </c>
      <c r="J391" s="33"/>
      <c r="K391" s="38"/>
    </row>
    <row r="392" spans="1:11" ht="16.5">
      <c r="A392" s="32"/>
      <c r="B392" s="11"/>
      <c r="C392" s="11" t="str">
        <f>A392&amp;B392</f>
        <v/>
      </c>
      <c r="D392" s="32">
        <f>VLOOKUP($C392,Asignaturas!$C$5:$D$261,2,0)</f>
        <v>0</v>
      </c>
      <c r="E392" s="66" t="s">
        <v>535</v>
      </c>
      <c r="F392" s="32" t="s">
        <v>464</v>
      </c>
      <c r="G392" s="39">
        <v>46008</v>
      </c>
      <c r="H392" s="39">
        <v>46009</v>
      </c>
      <c r="I392" s="32" t="s">
        <v>481</v>
      </c>
      <c r="J392" s="33"/>
      <c r="K392" s="38"/>
    </row>
    <row r="393" spans="1:11" ht="16.5">
      <c r="A393" s="32"/>
      <c r="B393" s="11"/>
      <c r="C393" s="11" t="str">
        <f>A393&amp;B393</f>
        <v/>
      </c>
      <c r="D393" s="32">
        <f>VLOOKUP($C393,Asignaturas!$C$5:$D$261,2,0)</f>
        <v>0</v>
      </c>
      <c r="E393" s="66" t="s">
        <v>535</v>
      </c>
      <c r="F393" s="32" t="s">
        <v>464</v>
      </c>
      <c r="G393" s="39">
        <v>46008</v>
      </c>
      <c r="H393" s="39">
        <v>46009</v>
      </c>
      <c r="I393" s="32" t="s">
        <v>481</v>
      </c>
      <c r="J393" s="33"/>
      <c r="K393" s="38"/>
    </row>
    <row r="394" spans="1:11" ht="16.5">
      <c r="A394" s="32"/>
      <c r="B394" s="11"/>
      <c r="C394" s="11" t="str">
        <f>A394&amp;B394</f>
        <v/>
      </c>
      <c r="D394" s="32">
        <f>VLOOKUP($C394,Asignaturas!$C$5:$D$261,2,0)</f>
        <v>0</v>
      </c>
      <c r="E394" s="66" t="s">
        <v>485</v>
      </c>
      <c r="F394" s="32" t="s">
        <v>464</v>
      </c>
      <c r="G394" s="39">
        <v>46008</v>
      </c>
      <c r="H394" s="39">
        <v>46009</v>
      </c>
      <c r="I394" s="32" t="s">
        <v>481</v>
      </c>
      <c r="J394" s="33"/>
      <c r="K394" s="38"/>
    </row>
    <row r="395" spans="1:11" ht="16.5">
      <c r="A395" s="32"/>
      <c r="B395" s="11"/>
      <c r="C395" s="11" t="str">
        <f>A395&amp;B395</f>
        <v/>
      </c>
      <c r="D395" s="32">
        <f>VLOOKUP($C395,Asignaturas!$C$5:$D$261,2,0)</f>
        <v>0</v>
      </c>
      <c r="E395" s="67" t="s">
        <v>535</v>
      </c>
      <c r="F395" s="32" t="s">
        <v>464</v>
      </c>
      <c r="G395" s="39">
        <v>46008</v>
      </c>
      <c r="H395" s="39">
        <v>46009</v>
      </c>
      <c r="I395" s="32" t="s">
        <v>481</v>
      </c>
      <c r="J395" s="33"/>
      <c r="K395" s="38"/>
    </row>
    <row r="396" spans="1:11" ht="16.5">
      <c r="A396" s="32"/>
      <c r="B396" s="11"/>
      <c r="C396" s="11" t="str">
        <f>A396&amp;B396</f>
        <v/>
      </c>
      <c r="D396" s="32">
        <f>VLOOKUP($C396,Asignaturas!$C$5:$D$261,2,0)</f>
        <v>0</v>
      </c>
      <c r="E396" s="67" t="s">
        <v>535</v>
      </c>
      <c r="F396" s="32" t="s">
        <v>464</v>
      </c>
      <c r="G396" s="39">
        <v>46008</v>
      </c>
      <c r="H396" s="39">
        <v>46009</v>
      </c>
      <c r="I396" s="32" t="s">
        <v>481</v>
      </c>
      <c r="J396" s="33"/>
      <c r="K396" s="38"/>
    </row>
    <row r="397" spans="1:11" ht="16.5">
      <c r="A397" s="32"/>
      <c r="B397" s="11"/>
      <c r="C397" s="11" t="str">
        <f>A397&amp;B397</f>
        <v/>
      </c>
      <c r="D397" s="32">
        <f>VLOOKUP($C397,Asignaturas!$C$5:$D$261,2,0)</f>
        <v>0</v>
      </c>
      <c r="E397" s="67" t="s">
        <v>535</v>
      </c>
      <c r="F397" s="32" t="s">
        <v>464</v>
      </c>
      <c r="G397" s="39">
        <v>46008</v>
      </c>
      <c r="H397" s="39">
        <v>46009</v>
      </c>
      <c r="I397" s="32" t="s">
        <v>481</v>
      </c>
      <c r="J397" s="33"/>
      <c r="K397" s="38"/>
    </row>
    <row r="398" spans="1:11" ht="16.5">
      <c r="A398" s="32"/>
      <c r="B398" s="11"/>
      <c r="C398" s="11" t="str">
        <f>A398&amp;B398</f>
        <v/>
      </c>
      <c r="D398" s="32">
        <f>VLOOKUP($C398,Asignaturas!$C$5:$D$261,2,0)</f>
        <v>0</v>
      </c>
      <c r="E398" s="67" t="s">
        <v>535</v>
      </c>
      <c r="F398" s="32" t="s">
        <v>464</v>
      </c>
      <c r="G398" s="39">
        <v>46008</v>
      </c>
      <c r="H398" s="39">
        <v>46009</v>
      </c>
      <c r="I398" s="32" t="s">
        <v>481</v>
      </c>
      <c r="J398" s="33"/>
      <c r="K398" s="38"/>
    </row>
    <row r="399" spans="1:11" ht="16.5">
      <c r="A399" s="32"/>
      <c r="B399" s="11"/>
      <c r="C399" s="11" t="str">
        <f>A399&amp;B399</f>
        <v/>
      </c>
      <c r="D399" s="32">
        <f>VLOOKUP($C399,Asignaturas!$C$5:$D$261,2,0)</f>
        <v>0</v>
      </c>
      <c r="E399" s="67" t="s">
        <v>535</v>
      </c>
      <c r="F399" s="32" t="s">
        <v>464</v>
      </c>
      <c r="G399" s="39">
        <v>46008</v>
      </c>
      <c r="H399" s="39">
        <v>46009</v>
      </c>
      <c r="I399" s="32" t="s">
        <v>481</v>
      </c>
      <c r="J399" s="33"/>
      <c r="K399" s="38"/>
    </row>
    <row r="400" spans="1:11" ht="16.5">
      <c r="A400" s="32"/>
      <c r="B400" s="11"/>
      <c r="C400" s="11" t="str">
        <f>A400&amp;B400</f>
        <v/>
      </c>
      <c r="D400" s="32">
        <f>VLOOKUP($C400,Asignaturas!$C$5:$D$261,2,0)</f>
        <v>0</v>
      </c>
      <c r="E400" s="66" t="s">
        <v>491</v>
      </c>
      <c r="F400" s="32" t="s">
        <v>464</v>
      </c>
      <c r="G400" s="43">
        <v>46008</v>
      </c>
      <c r="H400" s="43">
        <v>46009</v>
      </c>
      <c r="I400" s="32" t="s">
        <v>481</v>
      </c>
      <c r="J400" s="33"/>
      <c r="K400" s="38"/>
    </row>
    <row r="401" spans="1:11" ht="16.5">
      <c r="A401" s="32"/>
      <c r="B401" s="11"/>
      <c r="C401" s="11" t="str">
        <f>A401&amp;B401</f>
        <v/>
      </c>
      <c r="D401" s="32">
        <f>VLOOKUP($C401,Asignaturas!$C$5:$D$261,2,0)</f>
        <v>0</v>
      </c>
      <c r="E401" s="66" t="s">
        <v>535</v>
      </c>
      <c r="F401" s="32" t="s">
        <v>464</v>
      </c>
      <c r="G401" s="43">
        <v>46008</v>
      </c>
      <c r="H401" s="43">
        <v>46009</v>
      </c>
      <c r="I401" s="32" t="s">
        <v>481</v>
      </c>
      <c r="J401" s="33"/>
      <c r="K401" s="38"/>
    </row>
    <row r="402" spans="1:11" ht="16.5">
      <c r="A402" s="32"/>
      <c r="B402" s="11"/>
      <c r="C402" s="11" t="str">
        <f>A402&amp;B402</f>
        <v/>
      </c>
      <c r="D402" s="32">
        <f>VLOOKUP($C402,Asignaturas!$C$5:$D$261,2,0)</f>
        <v>0</v>
      </c>
      <c r="E402" s="66" t="s">
        <v>535</v>
      </c>
      <c r="F402" s="32" t="s">
        <v>464</v>
      </c>
      <c r="G402" s="43">
        <v>46008</v>
      </c>
      <c r="H402" s="43">
        <v>46009</v>
      </c>
      <c r="I402" s="32" t="s">
        <v>481</v>
      </c>
      <c r="J402" s="33"/>
      <c r="K402" s="38"/>
    </row>
    <row r="403" spans="1:11" ht="16.5">
      <c r="A403" s="32"/>
      <c r="B403" s="11"/>
      <c r="C403" s="11" t="str">
        <f>A403&amp;B403</f>
        <v/>
      </c>
      <c r="D403" s="32">
        <f>VLOOKUP($C403,Asignaturas!$C$5:$D$261,2,0)</f>
        <v>0</v>
      </c>
      <c r="E403" s="66" t="s">
        <v>535</v>
      </c>
      <c r="F403" s="32" t="s">
        <v>464</v>
      </c>
      <c r="G403" s="43">
        <v>46008</v>
      </c>
      <c r="H403" s="43">
        <v>46009</v>
      </c>
      <c r="I403" s="32" t="s">
        <v>481</v>
      </c>
      <c r="J403" s="33"/>
      <c r="K403" s="38"/>
    </row>
    <row r="404" spans="1:11" ht="16.5">
      <c r="A404" s="32"/>
      <c r="B404" s="11"/>
      <c r="C404" s="11" t="str">
        <f>A404&amp;B404</f>
        <v/>
      </c>
      <c r="D404" s="32">
        <f>VLOOKUP($C404,Asignaturas!$C$5:$D$261,2,0)</f>
        <v>0</v>
      </c>
      <c r="E404" s="32" t="s">
        <v>491</v>
      </c>
      <c r="F404" s="32" t="s">
        <v>464</v>
      </c>
      <c r="G404" s="43">
        <v>46008</v>
      </c>
      <c r="H404" s="43">
        <v>46009</v>
      </c>
      <c r="I404" s="32" t="s">
        <v>481</v>
      </c>
      <c r="J404" s="33"/>
      <c r="K404" s="38"/>
    </row>
    <row r="405" spans="1:11" ht="16.5">
      <c r="A405" s="32"/>
      <c r="B405" s="11"/>
      <c r="C405" s="11" t="str">
        <f>A405&amp;B405</f>
        <v/>
      </c>
      <c r="D405" s="32">
        <f>VLOOKUP($C405,Asignaturas!$C$5:$D$261,2,0)</f>
        <v>0</v>
      </c>
      <c r="E405" s="32" t="s">
        <v>484</v>
      </c>
      <c r="F405" s="32" t="s">
        <v>464</v>
      </c>
      <c r="G405" s="43">
        <v>46008</v>
      </c>
      <c r="H405" s="43">
        <v>46009</v>
      </c>
      <c r="I405" s="32" t="s">
        <v>481</v>
      </c>
      <c r="J405" s="33"/>
      <c r="K405" s="38"/>
    </row>
    <row r="406" spans="1:11" ht="16.5">
      <c r="A406" s="32"/>
      <c r="B406" s="11"/>
      <c r="C406" s="11" t="str">
        <f>A406&amp;B406</f>
        <v/>
      </c>
      <c r="D406" s="32">
        <f>VLOOKUP($C406,Asignaturas!$C$5:$D$261,2,0)</f>
        <v>0</v>
      </c>
      <c r="E406" s="66" t="s">
        <v>535</v>
      </c>
      <c r="F406" s="32" t="s">
        <v>471</v>
      </c>
      <c r="G406" s="39">
        <v>46008</v>
      </c>
      <c r="H406" s="39">
        <v>46009</v>
      </c>
      <c r="I406" s="32" t="s">
        <v>481</v>
      </c>
      <c r="J406" s="33"/>
      <c r="K406" s="38"/>
    </row>
    <row r="407" spans="1:11" ht="16.5">
      <c r="A407" s="32"/>
      <c r="B407" s="11"/>
      <c r="C407" s="11" t="str">
        <f>A407&amp;B407</f>
        <v/>
      </c>
      <c r="D407" s="32">
        <f>VLOOKUP($C407,Asignaturas!$C$5:$D$261,2,0)</f>
        <v>0</v>
      </c>
      <c r="E407" s="66" t="s">
        <v>535</v>
      </c>
      <c r="F407" s="32" t="s">
        <v>471</v>
      </c>
      <c r="G407" s="39">
        <v>46008</v>
      </c>
      <c r="H407" s="39">
        <v>46009</v>
      </c>
      <c r="I407" s="32" t="s">
        <v>481</v>
      </c>
      <c r="J407" s="33"/>
      <c r="K407" s="38"/>
    </row>
    <row r="408" spans="1:11" ht="16.5">
      <c r="A408" s="32"/>
      <c r="B408" s="11"/>
      <c r="C408" s="11" t="str">
        <f>A408&amp;B408</f>
        <v/>
      </c>
      <c r="D408" s="32">
        <f>VLOOKUP($C408,Asignaturas!$C$5:$D$261,2,0)</f>
        <v>0</v>
      </c>
      <c r="E408" s="66" t="s">
        <v>535</v>
      </c>
      <c r="F408" s="32" t="s">
        <v>471</v>
      </c>
      <c r="G408" s="39">
        <v>46008</v>
      </c>
      <c r="H408" s="39">
        <v>46009</v>
      </c>
      <c r="I408" s="32" t="s">
        <v>481</v>
      </c>
      <c r="J408" s="33"/>
      <c r="K408" s="38"/>
    </row>
    <row r="409" spans="1:11" ht="16.5">
      <c r="A409" s="32"/>
      <c r="B409" s="11"/>
      <c r="C409" s="11" t="str">
        <f>A409&amp;B409</f>
        <v/>
      </c>
      <c r="D409" s="32">
        <f>VLOOKUP($C409,Asignaturas!$C$5:$D$261,2,0)</f>
        <v>0</v>
      </c>
      <c r="E409" s="66" t="s">
        <v>535</v>
      </c>
      <c r="F409" s="32" t="s">
        <v>471</v>
      </c>
      <c r="G409" s="39">
        <v>46008</v>
      </c>
      <c r="H409" s="39">
        <v>46009</v>
      </c>
      <c r="I409" s="32" t="s">
        <v>481</v>
      </c>
      <c r="J409" s="33"/>
      <c r="K409" s="38"/>
    </row>
    <row r="410" spans="1:11" ht="16.5">
      <c r="A410" s="32"/>
      <c r="B410" s="11"/>
      <c r="C410" s="11" t="str">
        <f>A410&amp;B410</f>
        <v/>
      </c>
      <c r="D410" s="32">
        <f>VLOOKUP($C410,Asignaturas!$C$5:$D$261,2,0)</f>
        <v>0</v>
      </c>
      <c r="E410" s="66" t="s">
        <v>535</v>
      </c>
      <c r="F410" s="32" t="s">
        <v>471</v>
      </c>
      <c r="G410" s="39">
        <v>46008</v>
      </c>
      <c r="H410" s="39">
        <v>46009</v>
      </c>
      <c r="I410" s="32" t="s">
        <v>481</v>
      </c>
      <c r="J410" s="33"/>
      <c r="K410" s="38"/>
    </row>
    <row r="411" spans="1:11" ht="16.5">
      <c r="A411" s="32"/>
      <c r="B411" s="11"/>
      <c r="C411" s="11" t="str">
        <f>A411&amp;B411</f>
        <v/>
      </c>
      <c r="D411" s="32">
        <f>VLOOKUP($C411,Asignaturas!$C$5:$D$261,2,0)</f>
        <v>0</v>
      </c>
      <c r="E411" s="66" t="s">
        <v>535</v>
      </c>
      <c r="F411" s="32" t="s">
        <v>471</v>
      </c>
      <c r="G411" s="39">
        <v>46008</v>
      </c>
      <c r="H411" s="39">
        <v>46009</v>
      </c>
      <c r="I411" s="32" t="s">
        <v>481</v>
      </c>
      <c r="J411" s="33"/>
      <c r="K411" s="38"/>
    </row>
    <row r="412" spans="1:11" ht="16.5">
      <c r="A412" s="32"/>
      <c r="B412" s="11"/>
      <c r="C412" s="11" t="str">
        <f>A412&amp;B412</f>
        <v/>
      </c>
      <c r="D412" s="32">
        <f>VLOOKUP($C412,Asignaturas!$C$5:$D$261,2,0)</f>
        <v>0</v>
      </c>
      <c r="E412" s="66" t="s">
        <v>535</v>
      </c>
      <c r="F412" s="32" t="s">
        <v>471</v>
      </c>
      <c r="G412" s="39">
        <v>46008</v>
      </c>
      <c r="H412" s="39">
        <v>46009</v>
      </c>
      <c r="I412" s="32" t="s">
        <v>481</v>
      </c>
      <c r="J412" s="33"/>
      <c r="K412" s="38"/>
    </row>
    <row r="413" spans="1:11" ht="16.5">
      <c r="A413" s="32"/>
      <c r="B413" s="11"/>
      <c r="C413" s="11" t="str">
        <f>A413&amp;B413</f>
        <v/>
      </c>
      <c r="D413" s="32">
        <f>VLOOKUP($C413,Asignaturas!$C$5:$D$261,2,0)</f>
        <v>0</v>
      </c>
      <c r="E413" s="66" t="s">
        <v>535</v>
      </c>
      <c r="F413" s="32" t="s">
        <v>471</v>
      </c>
      <c r="G413" s="39">
        <v>46008</v>
      </c>
      <c r="H413" s="39">
        <v>46009</v>
      </c>
      <c r="I413" s="32" t="s">
        <v>481</v>
      </c>
      <c r="J413" s="33"/>
      <c r="K413" s="38"/>
    </row>
    <row r="414" spans="1:11" ht="16.5">
      <c r="A414" s="32"/>
      <c r="B414" s="11"/>
      <c r="C414" s="11" t="str">
        <f>A414&amp;B414</f>
        <v/>
      </c>
      <c r="D414" s="32">
        <f>VLOOKUP($C414,Asignaturas!$C$5:$D$261,2,0)</f>
        <v>0</v>
      </c>
      <c r="E414" s="66" t="s">
        <v>491</v>
      </c>
      <c r="F414" s="32" t="s">
        <v>464</v>
      </c>
      <c r="G414" s="39">
        <v>46009</v>
      </c>
      <c r="H414" s="39">
        <v>46009</v>
      </c>
      <c r="I414" s="32" t="s">
        <v>481</v>
      </c>
      <c r="J414" s="33"/>
      <c r="K414" s="38"/>
    </row>
    <row r="415" spans="1:11" ht="16.5">
      <c r="A415" s="32"/>
      <c r="B415" s="11"/>
      <c r="C415" s="11" t="str">
        <f>A415&amp;B415</f>
        <v/>
      </c>
      <c r="D415" s="32">
        <f>VLOOKUP($C415,Asignaturas!$C$5:$D$261,2,0)</f>
        <v>0</v>
      </c>
      <c r="E415" s="66" t="s">
        <v>535</v>
      </c>
      <c r="F415" s="32" t="s">
        <v>464</v>
      </c>
      <c r="G415" s="39">
        <v>46009</v>
      </c>
      <c r="H415" s="39">
        <v>46009</v>
      </c>
      <c r="I415" s="32" t="s">
        <v>481</v>
      </c>
      <c r="J415" s="33"/>
      <c r="K415" s="38"/>
    </row>
    <row r="416" spans="1:11" ht="16.5">
      <c r="A416" s="32"/>
      <c r="B416" s="11"/>
      <c r="C416" s="11" t="str">
        <f>A416&amp;B416</f>
        <v/>
      </c>
      <c r="D416" s="32">
        <f>VLOOKUP($C416,Asignaturas!$C$5:$D$261,2,0)</f>
        <v>0</v>
      </c>
      <c r="E416" s="66" t="s">
        <v>535</v>
      </c>
      <c r="F416" s="32" t="s">
        <v>464</v>
      </c>
      <c r="G416" s="39">
        <v>46009</v>
      </c>
      <c r="H416" s="39">
        <v>46009</v>
      </c>
      <c r="I416" s="32" t="s">
        <v>481</v>
      </c>
      <c r="J416" s="33"/>
      <c r="K416" s="38"/>
    </row>
    <row r="417" spans="1:13" ht="16.5">
      <c r="A417" s="32"/>
      <c r="B417" s="11"/>
      <c r="C417" s="11" t="str">
        <f>A417&amp;B417</f>
        <v/>
      </c>
      <c r="D417" s="32">
        <f>VLOOKUP($C417,Asignaturas!$C$5:$D$261,2,0)</f>
        <v>0</v>
      </c>
      <c r="E417" s="66" t="s">
        <v>535</v>
      </c>
      <c r="F417" s="32" t="s">
        <v>464</v>
      </c>
      <c r="G417" s="39">
        <v>46009</v>
      </c>
      <c r="H417" s="39">
        <v>46009</v>
      </c>
      <c r="I417" s="32" t="s">
        <v>481</v>
      </c>
      <c r="J417" s="33"/>
      <c r="K417" s="38"/>
    </row>
    <row r="418" spans="1:13" ht="16.5">
      <c r="A418" s="32"/>
      <c r="B418" s="11"/>
      <c r="C418" s="11" t="str">
        <f>A418&amp;B418</f>
        <v/>
      </c>
      <c r="D418" s="32">
        <f>VLOOKUP($C418,Asignaturas!$C$5:$D$261,2,0)</f>
        <v>0</v>
      </c>
      <c r="E418" s="66" t="s">
        <v>535</v>
      </c>
      <c r="F418" s="32" t="s">
        <v>464</v>
      </c>
      <c r="G418" s="39">
        <v>46009</v>
      </c>
      <c r="H418" s="39">
        <v>46009</v>
      </c>
      <c r="I418" s="32" t="s">
        <v>481</v>
      </c>
      <c r="J418" s="33"/>
      <c r="K418" s="38"/>
    </row>
    <row r="419" spans="1:13" ht="16.5">
      <c r="A419" s="32"/>
      <c r="B419" s="11"/>
      <c r="C419" s="11" t="str">
        <f>A419&amp;B419</f>
        <v/>
      </c>
      <c r="D419" s="32">
        <f>VLOOKUP($C419,Asignaturas!$C$5:$D$261,2,0)</f>
        <v>0</v>
      </c>
      <c r="E419" s="66" t="s">
        <v>535</v>
      </c>
      <c r="F419" s="32" t="s">
        <v>464</v>
      </c>
      <c r="G419" s="39">
        <v>46009</v>
      </c>
      <c r="H419" s="39">
        <v>46009</v>
      </c>
      <c r="I419" s="32" t="s">
        <v>481</v>
      </c>
      <c r="J419" s="33"/>
      <c r="K419" s="38"/>
    </row>
    <row r="420" spans="1:13" ht="16.5">
      <c r="A420" s="32"/>
      <c r="B420" s="11"/>
      <c r="C420" s="11" t="str">
        <f>A420&amp;B420</f>
        <v/>
      </c>
      <c r="D420" s="32">
        <f>VLOOKUP($C420,Asignaturas!$C$5:$D$261,2,0)</f>
        <v>0</v>
      </c>
      <c r="E420" s="66" t="s">
        <v>535</v>
      </c>
      <c r="F420" s="32" t="s">
        <v>464</v>
      </c>
      <c r="G420" s="39">
        <v>46009</v>
      </c>
      <c r="H420" s="39">
        <v>46009</v>
      </c>
      <c r="I420" s="32" t="s">
        <v>481</v>
      </c>
      <c r="J420" s="33"/>
      <c r="K420" s="38"/>
    </row>
    <row r="421" spans="1:13" ht="16.5">
      <c r="A421" s="32"/>
      <c r="B421" s="11"/>
      <c r="C421" s="11" t="str">
        <f>A421&amp;B421</f>
        <v/>
      </c>
      <c r="D421" s="32">
        <f>VLOOKUP($C421,Asignaturas!$C$5:$D$261,2,0)</f>
        <v>0</v>
      </c>
      <c r="E421" s="66" t="s">
        <v>535</v>
      </c>
      <c r="F421" s="32" t="s">
        <v>464</v>
      </c>
      <c r="G421" s="39">
        <v>46009</v>
      </c>
      <c r="H421" s="39">
        <v>46009</v>
      </c>
      <c r="I421" s="32" t="s">
        <v>481</v>
      </c>
      <c r="J421" s="33"/>
      <c r="K421" s="38"/>
    </row>
    <row r="422" spans="1:13" ht="16.5">
      <c r="A422" s="32"/>
      <c r="B422" s="11"/>
      <c r="C422" s="11" t="str">
        <f>A422&amp;B422</f>
        <v/>
      </c>
      <c r="D422" s="32">
        <f>VLOOKUP($C422,Asignaturas!$C$5:$D$261,2,0)</f>
        <v>0</v>
      </c>
      <c r="E422" s="66" t="s">
        <v>535</v>
      </c>
      <c r="F422" s="32" t="s">
        <v>464</v>
      </c>
      <c r="G422" s="39">
        <v>46009</v>
      </c>
      <c r="H422" s="39">
        <v>46009</v>
      </c>
      <c r="I422" s="32" t="s">
        <v>481</v>
      </c>
      <c r="J422" s="33"/>
      <c r="K422" s="38"/>
    </row>
    <row r="423" spans="1:13" ht="16.5">
      <c r="A423" s="32"/>
      <c r="B423" s="11"/>
      <c r="C423" s="11" t="str">
        <f>A423&amp;B423</f>
        <v/>
      </c>
      <c r="D423" s="32">
        <f>VLOOKUP($C423,Asignaturas!$C$5:$D$261,2,0)</f>
        <v>0</v>
      </c>
      <c r="E423" s="66" t="s">
        <v>535</v>
      </c>
      <c r="F423" s="32" t="s">
        <v>464</v>
      </c>
      <c r="G423" s="39">
        <v>46009</v>
      </c>
      <c r="H423" s="39">
        <v>46009</v>
      </c>
      <c r="I423" s="32" t="s">
        <v>481</v>
      </c>
      <c r="J423" s="33"/>
      <c r="K423" s="38"/>
    </row>
    <row r="424" spans="1:13" ht="16.5">
      <c r="A424" s="32"/>
      <c r="B424" s="11"/>
      <c r="C424" s="11" t="str">
        <f t="shared" ref="C424:C425" si="8">A424&amp;B424</f>
        <v/>
      </c>
      <c r="D424" s="32">
        <f>VLOOKUP($C424,Asignaturas!$C$5:$D$261,2,0)</f>
        <v>0</v>
      </c>
      <c r="E424" s="66" t="s">
        <v>535</v>
      </c>
      <c r="F424" s="32" t="s">
        <v>464</v>
      </c>
      <c r="G424" s="39">
        <v>46009</v>
      </c>
      <c r="H424" s="39">
        <v>46009</v>
      </c>
      <c r="I424" s="32" t="s">
        <v>481</v>
      </c>
      <c r="J424" s="33"/>
      <c r="K424" s="38"/>
    </row>
    <row r="425" spans="1:13" ht="16.5">
      <c r="A425" s="32"/>
      <c r="B425" s="11"/>
      <c r="C425" s="11" t="str">
        <f t="shared" si="8"/>
        <v/>
      </c>
      <c r="D425" s="32">
        <f>VLOOKUP($C425,Asignaturas!$C$5:$D$261,2,0)</f>
        <v>0</v>
      </c>
      <c r="E425" s="66" t="s">
        <v>535</v>
      </c>
      <c r="F425" s="32" t="s">
        <v>464</v>
      </c>
      <c r="G425" s="39">
        <v>46009</v>
      </c>
      <c r="H425" s="39">
        <v>46009</v>
      </c>
      <c r="I425" s="32" t="s">
        <v>481</v>
      </c>
      <c r="J425" s="33"/>
      <c r="K425" s="38"/>
    </row>
    <row r="426" spans="1:13" ht="16.5">
      <c r="A426" s="32"/>
      <c r="B426" s="11"/>
      <c r="C426" s="11" t="str">
        <f>A426&amp;B426</f>
        <v/>
      </c>
      <c r="D426" s="32">
        <f>VLOOKUP($C426,Asignaturas!$C$5:$D$261,2,0)</f>
        <v>0</v>
      </c>
      <c r="E426" s="66" t="s">
        <v>535</v>
      </c>
      <c r="F426" s="32" t="s">
        <v>464</v>
      </c>
      <c r="G426" s="39">
        <v>46009</v>
      </c>
      <c r="H426" s="39">
        <v>46009</v>
      </c>
      <c r="I426" s="32" t="s">
        <v>481</v>
      </c>
      <c r="J426" s="33"/>
      <c r="K426" s="38"/>
    </row>
    <row r="427" spans="1:13" ht="16.5">
      <c r="A427" s="32"/>
      <c r="B427" s="11"/>
      <c r="C427" s="11" t="str">
        <f>A427&amp;B427</f>
        <v/>
      </c>
      <c r="D427" s="32">
        <f>VLOOKUP($C427,Asignaturas!$C$5:$D$261,2,0)</f>
        <v>0</v>
      </c>
      <c r="E427" s="66" t="s">
        <v>535</v>
      </c>
      <c r="F427" s="32" t="s">
        <v>464</v>
      </c>
      <c r="G427" s="39">
        <v>46009</v>
      </c>
      <c r="H427" s="39">
        <v>46009</v>
      </c>
      <c r="I427" s="32" t="s">
        <v>481</v>
      </c>
      <c r="J427" s="33"/>
      <c r="K427" s="38"/>
      <c r="M427" t="s">
        <v>536</v>
      </c>
    </row>
    <row r="428" spans="1:13" ht="16.5">
      <c r="A428" s="32"/>
      <c r="B428" s="11"/>
      <c r="C428" s="11" t="str">
        <f>A428&amp;B428</f>
        <v/>
      </c>
      <c r="D428" s="32">
        <f>VLOOKUP($C428,Asignaturas!$C$5:$D$261,2,0)</f>
        <v>0</v>
      </c>
      <c r="E428" s="66" t="s">
        <v>535</v>
      </c>
      <c r="F428" s="32" t="s">
        <v>464</v>
      </c>
      <c r="G428" s="39">
        <v>46009</v>
      </c>
      <c r="H428" s="39">
        <v>46009</v>
      </c>
      <c r="I428" s="32" t="s">
        <v>481</v>
      </c>
      <c r="J428" s="33"/>
      <c r="K428" s="38"/>
    </row>
    <row r="429" spans="1:13" ht="16.5">
      <c r="A429" s="32"/>
      <c r="B429" s="11"/>
      <c r="C429" s="11" t="str">
        <f>A429&amp;B429</f>
        <v/>
      </c>
      <c r="D429" s="32">
        <f>VLOOKUP($C429,Asignaturas!$C$5:$D$261,2,0)</f>
        <v>0</v>
      </c>
      <c r="E429" s="66" t="s">
        <v>535</v>
      </c>
      <c r="F429" s="32" t="s">
        <v>464</v>
      </c>
      <c r="G429" s="39">
        <v>46009</v>
      </c>
      <c r="H429" s="39">
        <v>46009</v>
      </c>
      <c r="I429" s="32" t="s">
        <v>481</v>
      </c>
      <c r="J429" s="33"/>
      <c r="K429" s="38"/>
    </row>
    <row r="430" spans="1:13" ht="16.5">
      <c r="A430" s="32"/>
      <c r="B430" s="11"/>
      <c r="C430" s="11" t="str">
        <f>A430&amp;B430</f>
        <v/>
      </c>
      <c r="D430" s="32">
        <f>VLOOKUP($C430,Asignaturas!$C$5:$D$261,2,0)</f>
        <v>0</v>
      </c>
      <c r="E430" s="66" t="s">
        <v>535</v>
      </c>
      <c r="F430" s="32" t="s">
        <v>464</v>
      </c>
      <c r="G430" s="39">
        <v>46009</v>
      </c>
      <c r="H430" s="39">
        <v>46009</v>
      </c>
      <c r="I430" s="32" t="s">
        <v>481</v>
      </c>
      <c r="J430" s="33"/>
      <c r="K430" s="38"/>
    </row>
    <row r="431" spans="1:13" ht="16.5">
      <c r="A431" s="32"/>
      <c r="B431" s="11"/>
      <c r="C431" s="11" t="str">
        <f>A431&amp;B431</f>
        <v/>
      </c>
      <c r="D431" s="32">
        <f>VLOOKUP($C431,Asignaturas!$C$5:$D$261,2,0)</f>
        <v>0</v>
      </c>
      <c r="E431" s="66" t="s">
        <v>485</v>
      </c>
      <c r="F431" s="32" t="s">
        <v>464</v>
      </c>
      <c r="G431" s="39">
        <v>46009</v>
      </c>
      <c r="H431" s="39">
        <v>46009</v>
      </c>
      <c r="I431" s="32" t="s">
        <v>481</v>
      </c>
      <c r="J431" s="33"/>
      <c r="K431" s="38"/>
    </row>
    <row r="432" spans="1:13" ht="16.5">
      <c r="A432" s="32"/>
      <c r="B432" s="11"/>
      <c r="C432" s="11" t="str">
        <f>A432&amp;B432</f>
        <v/>
      </c>
      <c r="D432" s="32">
        <f>VLOOKUP($C432,Asignaturas!$C$5:$D$261,2,0)</f>
        <v>0</v>
      </c>
      <c r="E432" s="66" t="s">
        <v>535</v>
      </c>
      <c r="F432" s="32" t="s">
        <v>464</v>
      </c>
      <c r="G432" s="39">
        <v>46009</v>
      </c>
      <c r="H432" s="39">
        <v>46009</v>
      </c>
      <c r="I432" s="32" t="s">
        <v>481</v>
      </c>
      <c r="J432" s="33"/>
      <c r="K432" s="38"/>
    </row>
    <row r="433" spans="1:11" ht="16.5">
      <c r="A433" s="32"/>
      <c r="B433" s="11"/>
      <c r="C433" s="11" t="str">
        <f>A433&amp;B433</f>
        <v/>
      </c>
      <c r="D433" s="32">
        <f>VLOOKUP($C433,Asignaturas!$C$5:$D$261,2,0)</f>
        <v>0</v>
      </c>
      <c r="E433" s="66" t="s">
        <v>491</v>
      </c>
      <c r="F433" s="32" t="s">
        <v>464</v>
      </c>
      <c r="G433" s="39">
        <v>46009</v>
      </c>
      <c r="H433" s="39">
        <v>46009</v>
      </c>
      <c r="I433" s="32" t="s">
        <v>481</v>
      </c>
      <c r="J433" s="33"/>
      <c r="K433" s="38"/>
    </row>
    <row r="434" spans="1:11" ht="16.5">
      <c r="A434" s="32"/>
      <c r="B434" s="11"/>
      <c r="C434" s="11" t="str">
        <f>A434&amp;B434</f>
        <v/>
      </c>
      <c r="D434" s="32">
        <f>VLOOKUP($C434,Asignaturas!$C$5:$D$261,2,0)</f>
        <v>0</v>
      </c>
      <c r="E434" s="66" t="s">
        <v>491</v>
      </c>
      <c r="F434" s="32" t="s">
        <v>464</v>
      </c>
      <c r="G434" s="39">
        <v>46009</v>
      </c>
      <c r="H434" s="39">
        <v>46009</v>
      </c>
      <c r="I434" s="32" t="s">
        <v>481</v>
      </c>
      <c r="J434" s="33"/>
      <c r="K434" s="38"/>
    </row>
    <row r="435" spans="1:11" ht="30">
      <c r="A435" s="32"/>
      <c r="B435" s="11"/>
      <c r="C435" s="11" t="str">
        <f>A435&amp;B435</f>
        <v/>
      </c>
      <c r="D435" s="32">
        <f>VLOOKUP($C435,Asignaturas!$C$5:$D$261,2,0)</f>
        <v>0</v>
      </c>
      <c r="E435" s="32" t="s">
        <v>535</v>
      </c>
      <c r="F435" s="32" t="s">
        <v>464</v>
      </c>
      <c r="G435" s="39">
        <v>46010</v>
      </c>
      <c r="H435" s="39">
        <v>46010</v>
      </c>
      <c r="I435" s="33" t="s">
        <v>537</v>
      </c>
      <c r="J435" s="33"/>
      <c r="K435" s="38"/>
    </row>
    <row r="436" spans="1:11" ht="30">
      <c r="A436" s="32"/>
      <c r="B436" s="11"/>
      <c r="C436" s="11" t="str">
        <f>A436&amp;B436</f>
        <v/>
      </c>
      <c r="D436" s="32">
        <f>VLOOKUP($C436,Asignaturas!$C$5:$D$261,2,0)</f>
        <v>0</v>
      </c>
      <c r="E436" s="32" t="s">
        <v>535</v>
      </c>
      <c r="F436" s="32" t="s">
        <v>464</v>
      </c>
      <c r="G436" s="39">
        <v>46010</v>
      </c>
      <c r="H436" s="39">
        <v>46010</v>
      </c>
      <c r="I436" s="33" t="s">
        <v>537</v>
      </c>
      <c r="J436" s="33"/>
      <c r="K436" s="38"/>
    </row>
    <row r="437" spans="1:11" ht="30">
      <c r="A437" s="32"/>
      <c r="B437" s="11"/>
      <c r="C437" s="11" t="str">
        <f t="shared" ref="C437" si="9">A437&amp;B437</f>
        <v/>
      </c>
      <c r="D437" s="32">
        <f>VLOOKUP($C437,Asignaturas!$C$5:$D$261,2,0)</f>
        <v>0</v>
      </c>
      <c r="E437" s="32" t="s">
        <v>535</v>
      </c>
      <c r="F437" s="32" t="s">
        <v>464</v>
      </c>
      <c r="G437" s="39">
        <v>46010</v>
      </c>
      <c r="H437" s="39">
        <v>46010</v>
      </c>
      <c r="I437" s="33" t="s">
        <v>537</v>
      </c>
      <c r="J437" s="33"/>
      <c r="K437" s="38"/>
    </row>
    <row r="438" spans="1:11" ht="30">
      <c r="A438" s="32"/>
      <c r="B438" s="11"/>
      <c r="C438" s="11" t="str">
        <f>A438&amp;B438</f>
        <v/>
      </c>
      <c r="D438" s="32">
        <f>VLOOKUP($C438,Asignaturas!$C$5:$D$261,2,0)</f>
        <v>0</v>
      </c>
      <c r="E438" s="32" t="s">
        <v>535</v>
      </c>
      <c r="F438" s="32" t="s">
        <v>464</v>
      </c>
      <c r="G438" s="39">
        <v>46010</v>
      </c>
      <c r="H438" s="39">
        <v>46010</v>
      </c>
      <c r="I438" s="33" t="s">
        <v>537</v>
      </c>
      <c r="J438" s="33"/>
      <c r="K438" s="38"/>
    </row>
    <row r="439" spans="1:11" ht="30">
      <c r="A439" s="32"/>
      <c r="B439" s="11"/>
      <c r="C439" s="11" t="str">
        <f>A439&amp;B439</f>
        <v/>
      </c>
      <c r="D439" s="32">
        <f>VLOOKUP($C439,Asignaturas!$C$5:$D$261,2,0)</f>
        <v>0</v>
      </c>
      <c r="E439" s="32" t="s">
        <v>535</v>
      </c>
      <c r="F439" s="32" t="s">
        <v>464</v>
      </c>
      <c r="G439" s="39">
        <v>46010</v>
      </c>
      <c r="H439" s="39">
        <v>46010</v>
      </c>
      <c r="I439" s="33" t="s">
        <v>537</v>
      </c>
      <c r="J439" s="33"/>
      <c r="K439" s="38"/>
    </row>
    <row r="440" spans="1:11" ht="16.5">
      <c r="A440" s="32"/>
      <c r="B440" s="11"/>
      <c r="C440" s="11" t="str">
        <f>A440&amp;B440</f>
        <v/>
      </c>
      <c r="D440" s="32">
        <f>VLOOKUP($C440,Asignaturas!$C$5:$D$261,2,0)</f>
        <v>0</v>
      </c>
      <c r="E440" s="32"/>
      <c r="F440" s="32"/>
      <c r="G440" s="39"/>
      <c r="H440" s="39"/>
      <c r="I440" s="32"/>
      <c r="J440" s="33"/>
      <c r="K440" s="38"/>
    </row>
    <row r="441" spans="1:11" ht="16.5">
      <c r="A441" s="32"/>
      <c r="B441" s="11"/>
      <c r="C441" s="11" t="str">
        <f>A441&amp;B441</f>
        <v/>
      </c>
      <c r="D441" s="32">
        <f>VLOOKUP($C441,Asignaturas!$C$5:$D$261,2,0)</f>
        <v>0</v>
      </c>
      <c r="E441" s="32"/>
      <c r="F441" s="32"/>
      <c r="G441" s="39"/>
      <c r="H441" s="39"/>
      <c r="I441" s="32"/>
      <c r="J441" s="33"/>
      <c r="K441" s="38"/>
    </row>
    <row r="442" spans="1:11" ht="16.5">
      <c r="A442" s="32"/>
      <c r="B442" s="11"/>
      <c r="C442" s="11" t="str">
        <f>A442&amp;B442</f>
        <v/>
      </c>
      <c r="D442" s="32">
        <f>VLOOKUP($C442,Asignaturas!$C$5:$D$261,2,0)</f>
        <v>0</v>
      </c>
      <c r="E442" s="32"/>
      <c r="F442" s="32"/>
      <c r="G442" s="39"/>
      <c r="H442" s="39"/>
      <c r="I442" s="32"/>
      <c r="J442" s="33"/>
      <c r="K442" s="38"/>
    </row>
    <row r="443" spans="1:11" ht="16.5">
      <c r="A443" s="32"/>
      <c r="B443" s="11"/>
      <c r="C443" s="11" t="str">
        <f>A443&amp;B443</f>
        <v/>
      </c>
      <c r="D443" s="32">
        <f>VLOOKUP($C443,Asignaturas!$C$5:$D$261,2,0)</f>
        <v>0</v>
      </c>
      <c r="E443" s="32"/>
      <c r="F443" s="32"/>
      <c r="G443" s="39"/>
      <c r="H443" s="39"/>
      <c r="I443" s="32"/>
      <c r="J443" s="33"/>
      <c r="K443" s="38"/>
    </row>
    <row r="444" spans="1:11" ht="16.5">
      <c r="A444" s="32"/>
      <c r="B444" s="11"/>
      <c r="C444" s="11" t="str">
        <f>A444&amp;B444</f>
        <v/>
      </c>
      <c r="D444" s="32">
        <f>VLOOKUP($C444,Asignaturas!$C$5:$D$261,2,0)</f>
        <v>0</v>
      </c>
      <c r="E444" s="32"/>
      <c r="F444" s="32"/>
      <c r="G444" s="39"/>
      <c r="H444" s="39"/>
      <c r="I444" s="32"/>
      <c r="J444" s="33"/>
      <c r="K444" s="38"/>
    </row>
    <row r="445" spans="1:11" ht="16.5">
      <c r="A445" s="32"/>
      <c r="B445" s="11"/>
      <c r="C445" s="11" t="str">
        <f>A445&amp;B445</f>
        <v/>
      </c>
      <c r="D445" s="32">
        <f>VLOOKUP($C445,Asignaturas!$C$5:$D$261,2,0)</f>
        <v>0</v>
      </c>
      <c r="E445" s="32"/>
      <c r="F445" s="32"/>
      <c r="G445" s="39"/>
      <c r="H445" s="39"/>
      <c r="I445" s="32"/>
      <c r="J445" s="33"/>
      <c r="K445" s="38"/>
    </row>
    <row r="446" spans="1:11" ht="16.5">
      <c r="A446" s="32"/>
      <c r="B446" s="11"/>
      <c r="C446" s="11" t="str">
        <f>A446&amp;B446</f>
        <v/>
      </c>
      <c r="D446" s="32">
        <f>VLOOKUP($C446,Asignaturas!$C$5:$D$261,2,0)</f>
        <v>0</v>
      </c>
      <c r="E446" s="32"/>
      <c r="F446" s="32"/>
      <c r="G446" s="39"/>
      <c r="H446" s="39"/>
      <c r="I446" s="32"/>
      <c r="J446" s="33"/>
      <c r="K446" s="38"/>
    </row>
    <row r="447" spans="1:11" ht="16.5">
      <c r="A447" s="32"/>
      <c r="B447" s="11"/>
      <c r="C447" s="11" t="str">
        <f>A447&amp;B447</f>
        <v/>
      </c>
      <c r="D447" s="32">
        <f>VLOOKUP($C447,Asignaturas!$C$5:$D$261,2,0)</f>
        <v>0</v>
      </c>
      <c r="E447" s="32"/>
      <c r="F447" s="32"/>
      <c r="G447" s="39"/>
      <c r="H447" s="39"/>
      <c r="I447" s="32"/>
      <c r="J447" s="33"/>
      <c r="K447" s="38"/>
    </row>
    <row r="448" spans="1:11" ht="16.5">
      <c r="A448" s="32"/>
      <c r="B448" s="11"/>
      <c r="C448" s="11" t="str">
        <f>A448&amp;B448</f>
        <v/>
      </c>
      <c r="D448" s="32">
        <f>VLOOKUP($C448,Asignaturas!$C$5:$D$261,2,0)</f>
        <v>0</v>
      </c>
      <c r="E448" s="32"/>
      <c r="F448" s="32"/>
      <c r="G448" s="39"/>
      <c r="H448" s="39"/>
      <c r="I448" s="32"/>
      <c r="J448" s="33"/>
      <c r="K448" s="38"/>
    </row>
    <row r="449" spans="1:11" ht="16.5">
      <c r="A449" s="32"/>
      <c r="B449" s="11"/>
      <c r="C449" s="11" t="str">
        <f>A449&amp;B449</f>
        <v/>
      </c>
      <c r="D449" s="32">
        <f>VLOOKUP($C449,Asignaturas!$C$5:$D$261,2,0)</f>
        <v>0</v>
      </c>
      <c r="E449" s="32"/>
      <c r="F449" s="32"/>
      <c r="G449" s="39"/>
      <c r="H449" s="39"/>
      <c r="I449" s="32"/>
      <c r="J449" s="33"/>
      <c r="K449" s="38"/>
    </row>
    <row r="450" spans="1:11" ht="16.5">
      <c r="A450" s="32"/>
      <c r="B450" s="11"/>
      <c r="C450" s="11" t="str">
        <f>A450&amp;B450</f>
        <v/>
      </c>
      <c r="D450" s="32">
        <f>VLOOKUP($C450,Asignaturas!$C$5:$D$261,2,0)</f>
        <v>0</v>
      </c>
      <c r="E450" s="32"/>
      <c r="F450" s="32"/>
      <c r="G450" s="39"/>
      <c r="H450" s="39"/>
      <c r="I450" s="32"/>
      <c r="J450" s="33"/>
      <c r="K450" s="38"/>
    </row>
    <row r="451" spans="1:11" ht="16.5">
      <c r="A451" s="32"/>
      <c r="B451" s="11"/>
      <c r="C451" s="11" t="str">
        <f>A451&amp;B451</f>
        <v/>
      </c>
      <c r="D451" s="32">
        <f>VLOOKUP($C451,Asignaturas!$C$5:$D$261,2,0)</f>
        <v>0</v>
      </c>
      <c r="E451" s="32"/>
      <c r="F451" s="32"/>
      <c r="G451" s="39"/>
      <c r="H451" s="39"/>
      <c r="I451" s="32"/>
      <c r="J451" s="33"/>
      <c r="K451" s="38"/>
    </row>
    <row r="452" spans="1:11" ht="16.5">
      <c r="A452" s="32"/>
      <c r="B452" s="11"/>
      <c r="C452" s="11" t="str">
        <f>A452&amp;B452</f>
        <v/>
      </c>
      <c r="D452" s="32">
        <f>VLOOKUP($C452,Asignaturas!$C$5:$D$261,2,0)</f>
        <v>0</v>
      </c>
      <c r="E452" s="32"/>
      <c r="F452" s="32"/>
      <c r="G452" s="39"/>
      <c r="H452" s="39"/>
      <c r="I452" s="32"/>
      <c r="J452" s="33"/>
      <c r="K452" s="38"/>
    </row>
    <row r="453" spans="1:11" ht="16.5">
      <c r="A453" s="32"/>
      <c r="B453" s="11"/>
      <c r="C453" s="11" t="str">
        <f>A453&amp;B453</f>
        <v/>
      </c>
      <c r="D453" s="32">
        <f>VLOOKUP($C453,Asignaturas!$C$5:$D$261,2,0)</f>
        <v>0</v>
      </c>
      <c r="E453" s="32"/>
      <c r="F453" s="32"/>
      <c r="G453" s="39"/>
      <c r="H453" s="39"/>
      <c r="I453" s="32"/>
      <c r="J453" s="33"/>
      <c r="K453" s="38"/>
    </row>
    <row r="454" spans="1:11" ht="16.5">
      <c r="A454" s="32"/>
      <c r="B454" s="11"/>
      <c r="C454" s="11" t="str">
        <f>A454&amp;B454</f>
        <v/>
      </c>
      <c r="D454" s="32">
        <f>VLOOKUP($C454,Asignaturas!$C$5:$D$261,2,0)</f>
        <v>0</v>
      </c>
      <c r="E454" s="32"/>
      <c r="F454" s="32"/>
      <c r="G454" s="39"/>
      <c r="H454" s="39"/>
      <c r="I454" s="32"/>
      <c r="J454" s="33"/>
      <c r="K454" s="38"/>
    </row>
    <row r="455" spans="1:11" ht="16.5">
      <c r="A455" s="32"/>
      <c r="B455" s="11"/>
      <c r="C455" s="11" t="str">
        <f>A455&amp;B455</f>
        <v/>
      </c>
      <c r="D455" s="32">
        <f>VLOOKUP($C455,Asignaturas!$C$5:$D$261,2,0)</f>
        <v>0</v>
      </c>
      <c r="E455" s="32"/>
      <c r="F455" s="32"/>
      <c r="G455" s="39"/>
      <c r="H455" s="39"/>
      <c r="I455" s="32"/>
      <c r="J455" s="33"/>
      <c r="K455" s="38"/>
    </row>
    <row r="456" spans="1:11" ht="16.5">
      <c r="A456" s="32"/>
      <c r="B456" s="11"/>
      <c r="C456" s="11" t="str">
        <f>A456&amp;B456</f>
        <v/>
      </c>
      <c r="D456" s="32">
        <f>VLOOKUP($C456,Asignaturas!$C$5:$D$261,2,0)</f>
        <v>0</v>
      </c>
      <c r="E456" s="32"/>
      <c r="F456" s="32"/>
      <c r="G456" s="39"/>
      <c r="H456" s="39"/>
      <c r="I456" s="32"/>
      <c r="J456" s="33"/>
      <c r="K456" s="38"/>
    </row>
    <row r="457" spans="1:11" ht="16.5">
      <c r="A457" s="32"/>
      <c r="B457" s="11"/>
      <c r="C457" s="11" t="str">
        <f>A457&amp;B457</f>
        <v/>
      </c>
      <c r="D457" s="32">
        <f>VLOOKUP($C457,Asignaturas!$C$5:$D$261,2,0)</f>
        <v>0</v>
      </c>
      <c r="E457" s="32"/>
      <c r="F457" s="32"/>
      <c r="G457" s="39"/>
      <c r="H457" s="39"/>
      <c r="I457" s="32"/>
      <c r="J457" s="33"/>
      <c r="K457" s="38"/>
    </row>
    <row r="458" spans="1:11" ht="16.5">
      <c r="A458" s="32"/>
      <c r="B458" s="11"/>
      <c r="C458" s="11" t="str">
        <f>A458&amp;B458</f>
        <v/>
      </c>
      <c r="D458" s="32">
        <f>VLOOKUP($C458,Asignaturas!$C$5:$D$261,2,0)</f>
        <v>0</v>
      </c>
      <c r="E458" s="32"/>
      <c r="F458" s="32"/>
      <c r="G458" s="39"/>
      <c r="H458" s="39"/>
      <c r="I458" s="32"/>
      <c r="J458" s="33"/>
      <c r="K458" s="38"/>
    </row>
    <row r="459" spans="1:11" ht="16.5">
      <c r="A459" s="32"/>
      <c r="B459" s="11"/>
      <c r="C459" s="11" t="str">
        <f>A459&amp;B459</f>
        <v/>
      </c>
      <c r="D459" s="32">
        <f>VLOOKUP($C459,Asignaturas!$C$5:$D$261,2,0)</f>
        <v>0</v>
      </c>
      <c r="E459" s="32"/>
      <c r="F459" s="32"/>
      <c r="G459" s="39"/>
      <c r="H459" s="39"/>
      <c r="I459" s="32"/>
      <c r="J459" s="33"/>
      <c r="K459" s="38"/>
    </row>
    <row r="460" spans="1:11" ht="16.5">
      <c r="A460" s="32"/>
      <c r="B460" s="11"/>
      <c r="C460" s="11" t="str">
        <f>A460&amp;B460</f>
        <v/>
      </c>
      <c r="D460" s="32">
        <f>VLOOKUP($C460,Asignaturas!$C$5:$D$261,2,0)</f>
        <v>0</v>
      </c>
      <c r="E460" s="32"/>
      <c r="F460" s="32"/>
      <c r="G460" s="39"/>
      <c r="H460" s="39"/>
      <c r="I460" s="32"/>
      <c r="J460" s="33"/>
      <c r="K460" s="38"/>
    </row>
    <row r="461" spans="1:11" ht="16.5">
      <c r="A461" s="32"/>
      <c r="B461" s="11"/>
      <c r="C461" s="11" t="str">
        <f>A461&amp;B461</f>
        <v/>
      </c>
      <c r="D461" s="32">
        <f>VLOOKUP($C461,Asignaturas!$C$5:$D$261,2,0)</f>
        <v>0</v>
      </c>
      <c r="E461" s="32"/>
      <c r="F461" s="32"/>
      <c r="G461" s="39"/>
      <c r="H461" s="39"/>
      <c r="I461" s="32"/>
      <c r="J461" s="33"/>
      <c r="K461" s="38"/>
    </row>
    <row r="462" spans="1:11" ht="16.5">
      <c r="A462" s="32"/>
      <c r="B462" s="11"/>
      <c r="C462" s="11" t="str">
        <f>A462&amp;B462</f>
        <v/>
      </c>
      <c r="D462" s="32">
        <f>VLOOKUP($C462,Asignaturas!$C$5:$D$261,2,0)</f>
        <v>0</v>
      </c>
      <c r="E462" s="32"/>
      <c r="F462" s="32"/>
      <c r="G462" s="39"/>
      <c r="H462" s="39"/>
      <c r="I462" s="32"/>
      <c r="J462" s="33">
        <v>1</v>
      </c>
      <c r="K462" s="38"/>
    </row>
    <row r="463" spans="1:11" ht="16.5">
      <c r="A463" s="32"/>
      <c r="B463" s="11"/>
      <c r="C463" s="11" t="str">
        <f>A463&amp;B463</f>
        <v/>
      </c>
      <c r="D463" s="32">
        <f>VLOOKUP($C463,Asignaturas!$C$5:$D$261,2,0)</f>
        <v>0</v>
      </c>
      <c r="E463" s="32"/>
      <c r="F463" s="32"/>
      <c r="G463" s="39"/>
      <c r="H463" s="39"/>
      <c r="I463" s="32"/>
      <c r="J463" s="33"/>
      <c r="K463" s="38"/>
    </row>
    <row r="464" spans="1:11" ht="16.5">
      <c r="A464" s="32"/>
      <c r="B464" s="11"/>
      <c r="C464" s="11" t="str">
        <f>A464&amp;B464</f>
        <v/>
      </c>
      <c r="D464" s="32">
        <f>VLOOKUP($C464,Asignaturas!$C$5:$D$261,2,0)</f>
        <v>0</v>
      </c>
      <c r="E464" s="32"/>
      <c r="F464" s="32"/>
      <c r="G464" s="39"/>
      <c r="H464" s="39"/>
      <c r="I464" s="32"/>
      <c r="J464" s="33"/>
      <c r="K464" s="38"/>
    </row>
    <row r="465" spans="1:11" ht="16.5">
      <c r="A465" s="32"/>
      <c r="B465" s="11"/>
      <c r="C465" s="11" t="str">
        <f>A465&amp;B465</f>
        <v/>
      </c>
      <c r="D465" s="32">
        <f>VLOOKUP($C465,Asignaturas!$C$5:$D$261,2,0)</f>
        <v>0</v>
      </c>
      <c r="E465" s="32"/>
      <c r="F465" s="32"/>
      <c r="G465" s="39"/>
      <c r="H465" s="39"/>
      <c r="I465" s="32"/>
      <c r="J465" s="33"/>
      <c r="K465" s="38"/>
    </row>
    <row r="466" spans="1:11" ht="16.5">
      <c r="A466" s="38"/>
      <c r="B466" s="11"/>
      <c r="C466" s="11" t="str">
        <f>A466&amp;B466</f>
        <v/>
      </c>
      <c r="D466" s="38">
        <f>VLOOKUP($C466,Asignaturas!$C$5:$D$261,2,0)</f>
        <v>0</v>
      </c>
      <c r="E466" s="38"/>
      <c r="F466" s="38"/>
      <c r="G466" s="40"/>
      <c r="H466" s="40"/>
      <c r="I466" s="38"/>
      <c r="J466" s="38"/>
      <c r="K466" s="38"/>
    </row>
  </sheetData>
  <autoFilter ref="F471" xr:uid="{FB361BB2-9B46-4596-84F3-72A71E9A6464}"/>
  <mergeCells count="1">
    <mergeCell ref="A2:J2"/>
  </mergeCells>
  <dataValidations count="2">
    <dataValidation type="list" allowBlank="1" showInputMessage="1" showErrorMessage="1" sqref="I5:I466" xr:uid="{10CC0CFC-E87F-4A7C-9360-433A448EB4A8}">
      <formula1>"1:00 p.m.,6:00 p.m.,11:00 a.m."</formula1>
    </dataValidation>
    <dataValidation type="list" allowBlank="1" showInputMessage="1" showErrorMessage="1" sqref="F5:F466" xr:uid="{EE2CD958-B3A4-468B-A5F1-CC51511E2A9D}">
      <formula1>"AM,PM"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95CED7-1FA4-416C-A57F-2E247F060B13}">
          <x14:formula1>
            <xm:f>Asignaturas!$A$5:$A$264</xm:f>
          </x14:formula1>
          <xm:sqref>A5:A466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29077-6FE2-4EF1-88C3-5C5FC94B471B}">
  <sheetPr codeName="Hoja4"/>
  <dimension ref="A2:L61"/>
  <sheetViews>
    <sheetView showGridLines="0" workbookViewId="0">
      <selection activeCell="D5" sqref="D5"/>
    </sheetView>
  </sheetViews>
  <sheetFormatPr defaultColWidth="9.140625" defaultRowHeight="15"/>
  <cols>
    <col min="1" max="1" width="11.42578125" customWidth="1"/>
    <col min="2" max="2" width="46.140625" bestFit="1" customWidth="1"/>
    <col min="3" max="3" width="9.140625" customWidth="1"/>
    <col min="4" max="4" width="8.85546875" customWidth="1"/>
    <col min="5" max="5" width="46" style="6" customWidth="1"/>
    <col min="6" max="6" width="15.7109375" customWidth="1"/>
    <col min="7" max="7" width="11.5703125" customWidth="1"/>
    <col min="8" max="8" width="31.85546875" style="8" customWidth="1"/>
    <col min="9" max="9" width="10.28515625" customWidth="1"/>
    <col min="10" max="10" width="23.5703125" style="8" customWidth="1"/>
  </cols>
  <sheetData>
    <row r="2" spans="1:12" ht="21">
      <c r="A2" s="9" t="s">
        <v>538</v>
      </c>
      <c r="B2" s="9"/>
      <c r="C2" s="9"/>
      <c r="D2" s="9"/>
      <c r="E2" s="55"/>
      <c r="F2" s="9"/>
      <c r="G2" s="9"/>
      <c r="H2" s="10"/>
      <c r="I2" s="9"/>
      <c r="J2" s="10"/>
    </row>
    <row r="4" spans="1:12" ht="48.75" customHeight="1">
      <c r="A4" s="11" t="s">
        <v>450</v>
      </c>
      <c r="B4" s="11" t="s">
        <v>539</v>
      </c>
      <c r="C4" s="15" t="s">
        <v>540</v>
      </c>
      <c r="D4" s="15" t="s">
        <v>476</v>
      </c>
      <c r="E4" s="21" t="s">
        <v>541</v>
      </c>
      <c r="F4" s="11" t="s">
        <v>454</v>
      </c>
      <c r="G4" s="14" t="s">
        <v>542</v>
      </c>
      <c r="H4" s="12" t="s">
        <v>543</v>
      </c>
      <c r="I4" s="13" t="s">
        <v>544</v>
      </c>
      <c r="J4" s="22" t="s">
        <v>545</v>
      </c>
      <c r="K4" s="11" t="s">
        <v>546</v>
      </c>
      <c r="L4" s="6"/>
    </row>
    <row r="5" spans="1:12" s="52" customFormat="1" ht="48.75" customHeight="1">
      <c r="A5" s="45"/>
      <c r="B5" s="47"/>
      <c r="C5" s="46"/>
      <c r="D5" s="46" t="str">
        <f>A5&amp;C5</f>
        <v/>
      </c>
      <c r="E5" s="47">
        <f>VLOOKUP(D5,Asignaturas!$C$5:$D$261,2,0)</f>
        <v>0</v>
      </c>
      <c r="F5" s="45"/>
      <c r="G5" s="48"/>
      <c r="H5" s="47"/>
      <c r="I5" s="49"/>
      <c r="J5" s="50"/>
      <c r="K5" s="45"/>
      <c r="L5" s="51"/>
    </row>
    <row r="6" spans="1:12" s="52" customFormat="1" ht="48.75" customHeight="1">
      <c r="A6" s="45"/>
      <c r="B6" s="45"/>
      <c r="C6" s="46"/>
      <c r="D6" s="46" t="str">
        <f t="shared" ref="D6:D41" si="0">A6&amp;C6</f>
        <v/>
      </c>
      <c r="E6" s="47">
        <f>VLOOKUP(D6,Asignaturas!$C$5:$D$261,2,0)</f>
        <v>0</v>
      </c>
      <c r="F6" s="45"/>
      <c r="G6" s="48"/>
      <c r="H6" s="47"/>
      <c r="I6" s="49"/>
      <c r="J6" s="50"/>
      <c r="K6" s="45"/>
      <c r="L6" s="51"/>
    </row>
    <row r="7" spans="1:12" s="52" customFormat="1" ht="48.75" customHeight="1">
      <c r="A7" s="45"/>
      <c r="B7" s="45"/>
      <c r="C7" s="46"/>
      <c r="D7" s="46" t="str">
        <f t="shared" si="0"/>
        <v/>
      </c>
      <c r="E7" s="47">
        <f>VLOOKUP(D7,Asignaturas!$C$5:$D$261,2,0)</f>
        <v>0</v>
      </c>
      <c r="F7" s="45"/>
      <c r="G7" s="48"/>
      <c r="H7" s="47"/>
      <c r="I7" s="49"/>
      <c r="J7" s="50"/>
      <c r="K7" s="45"/>
      <c r="L7" s="51"/>
    </row>
    <row r="8" spans="1:12" s="52" customFormat="1" ht="48.75" customHeight="1">
      <c r="A8" s="45"/>
      <c r="B8" s="45"/>
      <c r="C8" s="46"/>
      <c r="D8" s="46" t="str">
        <f t="shared" si="0"/>
        <v/>
      </c>
      <c r="E8" s="47">
        <f>VLOOKUP(D8,Asignaturas!$C$5:$D$261,2,0)</f>
        <v>0</v>
      </c>
      <c r="F8" s="45"/>
      <c r="G8" s="48"/>
      <c r="H8" s="47"/>
      <c r="I8" s="49"/>
      <c r="J8" s="50"/>
      <c r="K8" s="45"/>
      <c r="L8" s="51"/>
    </row>
    <row r="9" spans="1:12" s="52" customFormat="1" ht="48.75" customHeight="1">
      <c r="A9" s="45"/>
      <c r="B9" s="45"/>
      <c r="C9" s="46"/>
      <c r="D9" s="46" t="str">
        <f t="shared" si="0"/>
        <v/>
      </c>
      <c r="E9" s="47">
        <f>VLOOKUP(D9,Asignaturas!$C$5:$D$261,2,0)</f>
        <v>0</v>
      </c>
      <c r="F9" s="45"/>
      <c r="G9" s="48"/>
      <c r="H9" s="47"/>
      <c r="I9" s="49"/>
      <c r="J9" s="50"/>
      <c r="K9" s="45"/>
      <c r="L9" s="51"/>
    </row>
    <row r="10" spans="1:12" s="52" customFormat="1" ht="48.75" customHeight="1">
      <c r="A10" s="45"/>
      <c r="B10" s="45"/>
      <c r="C10" s="46"/>
      <c r="D10" s="46" t="str">
        <f t="shared" si="0"/>
        <v/>
      </c>
      <c r="E10" s="47">
        <f>VLOOKUP(D10,Asignaturas!$C$5:$D$261,2,0)</f>
        <v>0</v>
      </c>
      <c r="F10" s="45"/>
      <c r="G10" s="48"/>
      <c r="H10" s="47"/>
      <c r="I10" s="49"/>
      <c r="J10" s="50"/>
      <c r="K10" s="45"/>
      <c r="L10" s="51"/>
    </row>
    <row r="11" spans="1:12" s="52" customFormat="1" ht="48.75" customHeight="1">
      <c r="A11" s="45"/>
      <c r="B11" s="45"/>
      <c r="C11" s="46"/>
      <c r="D11" s="46" t="str">
        <f t="shared" si="0"/>
        <v/>
      </c>
      <c r="E11" s="47">
        <f>VLOOKUP(D11,Asignaturas!$C$5:$D$261,2,0)</f>
        <v>0</v>
      </c>
      <c r="F11" s="45"/>
      <c r="G11" s="48"/>
      <c r="H11" s="47"/>
      <c r="I11" s="49"/>
      <c r="J11" s="50"/>
      <c r="K11" s="45"/>
      <c r="L11" s="51"/>
    </row>
    <row r="12" spans="1:12" s="52" customFormat="1" ht="48.75" customHeight="1">
      <c r="A12" s="45"/>
      <c r="B12" s="45"/>
      <c r="C12" s="46"/>
      <c r="D12" s="46" t="str">
        <f t="shared" si="0"/>
        <v/>
      </c>
      <c r="E12" s="47">
        <f>VLOOKUP(D12,Asignaturas!$C$5:$D$261,2,0)</f>
        <v>0</v>
      </c>
      <c r="F12" s="45"/>
      <c r="G12" s="48"/>
      <c r="H12" s="47"/>
      <c r="I12" s="49"/>
      <c r="J12" s="50"/>
      <c r="K12" s="45"/>
      <c r="L12" s="51"/>
    </row>
    <row r="13" spans="1:12" s="52" customFormat="1" ht="48.75" customHeight="1">
      <c r="A13" s="45"/>
      <c r="B13" s="45"/>
      <c r="C13" s="46"/>
      <c r="D13" s="46" t="str">
        <f t="shared" si="0"/>
        <v/>
      </c>
      <c r="E13" s="47">
        <f>VLOOKUP(D13,Asignaturas!$C$5:$D$261,2,0)</f>
        <v>0</v>
      </c>
      <c r="F13" s="45"/>
      <c r="G13" s="48"/>
      <c r="H13" s="47"/>
      <c r="I13" s="49"/>
      <c r="J13" s="50"/>
      <c r="K13" s="45"/>
      <c r="L13" s="51"/>
    </row>
    <row r="14" spans="1:12" s="52" customFormat="1" ht="48.75" customHeight="1">
      <c r="A14" s="45"/>
      <c r="B14" s="45"/>
      <c r="C14" s="46"/>
      <c r="D14" s="46" t="str">
        <f t="shared" si="0"/>
        <v/>
      </c>
      <c r="E14" s="47">
        <f>VLOOKUP(D14,Asignaturas!$C$5:$D$261,2,0)</f>
        <v>0</v>
      </c>
      <c r="F14" s="45"/>
      <c r="G14" s="48"/>
      <c r="H14" s="47"/>
      <c r="I14" s="49"/>
      <c r="J14" s="50"/>
      <c r="K14" s="45"/>
      <c r="L14" s="51"/>
    </row>
    <row r="15" spans="1:12" s="52" customFormat="1" ht="48.75" customHeight="1">
      <c r="A15" s="45"/>
      <c r="B15" s="45"/>
      <c r="C15" s="46"/>
      <c r="D15" s="46" t="str">
        <f t="shared" si="0"/>
        <v/>
      </c>
      <c r="E15" s="47">
        <f>VLOOKUP(D15,Asignaturas!$C$5:$D$261,2,0)</f>
        <v>0</v>
      </c>
      <c r="F15" s="45"/>
      <c r="G15" s="48"/>
      <c r="H15" s="47"/>
      <c r="I15" s="49"/>
      <c r="J15" s="50"/>
      <c r="K15" s="45"/>
      <c r="L15" s="51"/>
    </row>
    <row r="16" spans="1:12" s="52" customFormat="1" ht="48.75" customHeight="1">
      <c r="A16" s="45"/>
      <c r="B16" s="45"/>
      <c r="C16" s="46"/>
      <c r="D16" s="46" t="str">
        <f t="shared" si="0"/>
        <v/>
      </c>
      <c r="E16" s="47">
        <f>VLOOKUP(D16,Asignaturas!$C$5:$D$261,2,0)</f>
        <v>0</v>
      </c>
      <c r="F16" s="45"/>
      <c r="G16" s="48"/>
      <c r="H16" s="47"/>
      <c r="I16" s="49"/>
      <c r="J16" s="50"/>
      <c r="K16" s="45"/>
      <c r="L16" s="51"/>
    </row>
    <row r="17" spans="1:12" s="52" customFormat="1" ht="48.75" customHeight="1">
      <c r="A17" s="45"/>
      <c r="B17" s="47"/>
      <c r="C17" s="46"/>
      <c r="D17" s="46" t="str">
        <f t="shared" si="0"/>
        <v/>
      </c>
      <c r="E17" s="47">
        <f>VLOOKUP(D17,Asignaturas!$C$5:$D$261,2,0)</f>
        <v>0</v>
      </c>
      <c r="F17" s="45"/>
      <c r="G17" s="48"/>
      <c r="H17" s="47"/>
      <c r="I17" s="49"/>
      <c r="J17" s="50"/>
      <c r="K17" s="45"/>
      <c r="L17" s="51"/>
    </row>
    <row r="18" spans="1:12" s="52" customFormat="1" ht="48.75" customHeight="1">
      <c r="A18" s="45"/>
      <c r="B18" s="45"/>
      <c r="C18" s="46"/>
      <c r="D18" s="46" t="str">
        <f t="shared" si="0"/>
        <v/>
      </c>
      <c r="E18" s="47">
        <f>VLOOKUP(D18,Asignaturas!$C$5:$D$261,2,0)</f>
        <v>0</v>
      </c>
      <c r="F18" s="45"/>
      <c r="G18" s="48"/>
      <c r="H18" s="47"/>
      <c r="I18" s="49"/>
      <c r="J18" s="50"/>
      <c r="K18" s="45"/>
      <c r="L18" s="51"/>
    </row>
    <row r="19" spans="1:12" s="52" customFormat="1" ht="48.75" customHeight="1">
      <c r="A19" s="45"/>
      <c r="B19" s="45"/>
      <c r="C19" s="46"/>
      <c r="D19" s="46" t="str">
        <f t="shared" si="0"/>
        <v/>
      </c>
      <c r="E19" s="47">
        <f>VLOOKUP(D19,Asignaturas!$C$5:$D$261,2,0)</f>
        <v>0</v>
      </c>
      <c r="F19" s="45"/>
      <c r="G19" s="48"/>
      <c r="H19" s="47"/>
      <c r="I19" s="49"/>
      <c r="J19" s="50"/>
      <c r="K19" s="45"/>
      <c r="L19" s="51"/>
    </row>
    <row r="20" spans="1:12" s="52" customFormat="1" ht="48.75" customHeight="1">
      <c r="A20" s="45"/>
      <c r="B20" s="45"/>
      <c r="C20" s="46"/>
      <c r="D20" s="46" t="str">
        <f t="shared" si="0"/>
        <v/>
      </c>
      <c r="E20" s="47">
        <f>VLOOKUP(D20,Asignaturas!$C$5:$D$261,2,0)</f>
        <v>0</v>
      </c>
      <c r="F20" s="45"/>
      <c r="G20" s="48"/>
      <c r="H20" s="47"/>
      <c r="I20" s="49"/>
      <c r="J20" s="50"/>
      <c r="K20" s="45"/>
      <c r="L20" s="51"/>
    </row>
    <row r="21" spans="1:12" s="52" customFormat="1" ht="48.75" customHeight="1">
      <c r="A21" s="45"/>
      <c r="B21" s="45"/>
      <c r="C21" s="46"/>
      <c r="D21" s="46" t="str">
        <f t="shared" si="0"/>
        <v/>
      </c>
      <c r="E21" s="47">
        <f>VLOOKUP(D21,Asignaturas!$C$5:$D$261,2,0)</f>
        <v>0</v>
      </c>
      <c r="F21" s="45"/>
      <c r="G21" s="48"/>
      <c r="H21" s="47"/>
      <c r="I21" s="49"/>
      <c r="J21" s="50"/>
      <c r="K21" s="45"/>
      <c r="L21" s="51"/>
    </row>
    <row r="22" spans="1:12" s="52" customFormat="1" ht="48.75" customHeight="1">
      <c r="A22" s="45"/>
      <c r="B22" s="45"/>
      <c r="C22" s="46"/>
      <c r="D22" s="46" t="str">
        <f t="shared" si="0"/>
        <v/>
      </c>
      <c r="E22" s="47">
        <f>VLOOKUP(D22,Asignaturas!$C$5:$D$261,2,0)</f>
        <v>0</v>
      </c>
      <c r="F22" s="45"/>
      <c r="G22" s="48"/>
      <c r="H22" s="47"/>
      <c r="I22" s="49"/>
      <c r="J22" s="50"/>
      <c r="K22" s="45"/>
      <c r="L22" s="51"/>
    </row>
    <row r="23" spans="1:12" s="52" customFormat="1" ht="48.75" customHeight="1">
      <c r="A23" s="45"/>
      <c r="B23" s="45"/>
      <c r="C23" s="46"/>
      <c r="D23" s="46" t="str">
        <f t="shared" si="0"/>
        <v/>
      </c>
      <c r="E23" s="47">
        <f>VLOOKUP(D23,Asignaturas!$C$5:$D$261,2,0)</f>
        <v>0</v>
      </c>
      <c r="F23" s="45"/>
      <c r="G23" s="48"/>
      <c r="H23" s="47"/>
      <c r="I23" s="49"/>
      <c r="J23" s="50"/>
      <c r="K23" s="45"/>
      <c r="L23" s="51"/>
    </row>
    <row r="24" spans="1:12" s="52" customFormat="1" ht="48.75" customHeight="1">
      <c r="A24" s="45"/>
      <c r="B24" s="45"/>
      <c r="C24" s="46"/>
      <c r="D24" s="46" t="str">
        <f t="shared" si="0"/>
        <v/>
      </c>
      <c r="E24" s="47">
        <f>VLOOKUP(D24,Asignaturas!$C$5:$D$261,2,0)</f>
        <v>0</v>
      </c>
      <c r="F24" s="45"/>
      <c r="G24" s="48"/>
      <c r="H24" s="53"/>
      <c r="I24" s="54"/>
      <c r="J24" s="50"/>
      <c r="K24" s="45"/>
      <c r="L24" s="51"/>
    </row>
    <row r="25" spans="1:12" s="52" customFormat="1" ht="48.75" customHeight="1">
      <c r="A25" s="45"/>
      <c r="B25" s="45"/>
      <c r="C25" s="46"/>
      <c r="D25" s="46" t="str">
        <f t="shared" si="0"/>
        <v/>
      </c>
      <c r="E25" s="47">
        <f>VLOOKUP(D25,Asignaturas!$C$5:$D$261,2,0)</f>
        <v>0</v>
      </c>
      <c r="F25" s="45"/>
      <c r="G25" s="48"/>
      <c r="H25" s="47"/>
      <c r="I25" s="49"/>
      <c r="J25" s="50"/>
      <c r="K25" s="45"/>
      <c r="L25" s="51"/>
    </row>
    <row r="26" spans="1:12" s="52" customFormat="1" ht="48.75" customHeight="1">
      <c r="A26" s="45"/>
      <c r="B26" s="45"/>
      <c r="C26" s="46"/>
      <c r="D26" s="46" t="str">
        <f t="shared" si="0"/>
        <v/>
      </c>
      <c r="E26" s="47">
        <f>VLOOKUP(D26,Asignaturas!$C$5:$D$261,2,0)</f>
        <v>0</v>
      </c>
      <c r="F26" s="45"/>
      <c r="G26" s="48"/>
      <c r="H26" s="47"/>
      <c r="I26" s="49"/>
      <c r="J26" s="50"/>
      <c r="K26" s="45"/>
      <c r="L26" s="51"/>
    </row>
    <row r="27" spans="1:12" s="52" customFormat="1" ht="48.75" customHeight="1">
      <c r="A27" s="45"/>
      <c r="B27" s="45"/>
      <c r="C27" s="46"/>
      <c r="D27" s="46" t="str">
        <f t="shared" si="0"/>
        <v/>
      </c>
      <c r="E27" s="47">
        <f>VLOOKUP(D27,Asignaturas!$C$5:$D$261,2,0)</f>
        <v>0</v>
      </c>
      <c r="F27" s="45"/>
      <c r="G27" s="48"/>
      <c r="H27" s="47"/>
      <c r="I27" s="49"/>
      <c r="J27" s="50"/>
      <c r="K27" s="45"/>
      <c r="L27" s="51"/>
    </row>
    <row r="28" spans="1:12" s="52" customFormat="1" ht="48.75" customHeight="1">
      <c r="A28" s="45"/>
      <c r="B28" s="45"/>
      <c r="C28" s="46"/>
      <c r="D28" s="46" t="str">
        <f t="shared" si="0"/>
        <v/>
      </c>
      <c r="E28" s="47">
        <f>VLOOKUP(D28,Asignaturas!$C$5:$D$261,2,0)</f>
        <v>0</v>
      </c>
      <c r="F28" s="45"/>
      <c r="G28" s="48"/>
      <c r="H28" s="47"/>
      <c r="I28" s="49"/>
      <c r="J28" s="50"/>
      <c r="K28" s="45"/>
      <c r="L28" s="51"/>
    </row>
    <row r="29" spans="1:12" s="52" customFormat="1" ht="48.75" customHeight="1">
      <c r="A29" s="45"/>
      <c r="B29" s="45"/>
      <c r="C29" s="46"/>
      <c r="D29" s="46" t="str">
        <f t="shared" si="0"/>
        <v/>
      </c>
      <c r="E29" s="47">
        <f>VLOOKUP(D29,Asignaturas!$C$5:$D$261,2,0)</f>
        <v>0</v>
      </c>
      <c r="F29" s="45"/>
      <c r="G29" s="48"/>
      <c r="H29" s="47"/>
      <c r="I29" s="49"/>
      <c r="J29" s="50"/>
      <c r="K29" s="45"/>
      <c r="L29" s="51"/>
    </row>
    <row r="30" spans="1:12" s="52" customFormat="1" ht="48.75" customHeight="1">
      <c r="A30" s="76"/>
      <c r="B30" s="45"/>
      <c r="C30" s="46"/>
      <c r="D30" s="46" t="str">
        <f t="shared" si="0"/>
        <v/>
      </c>
      <c r="E30" s="47">
        <f>VLOOKUP(D30,Asignaturas!$C$5:$D$261,2,0)</f>
        <v>0</v>
      </c>
      <c r="F30" s="45"/>
      <c r="G30" s="48"/>
      <c r="H30" s="47"/>
      <c r="I30" s="49"/>
      <c r="J30" s="50"/>
      <c r="K30" s="45"/>
      <c r="L30" s="51"/>
    </row>
    <row r="31" spans="1:12" s="52" customFormat="1" ht="48.75" customHeight="1">
      <c r="A31" s="45"/>
      <c r="B31" s="45"/>
      <c r="C31" s="46"/>
      <c r="D31" s="46" t="str">
        <f t="shared" si="0"/>
        <v/>
      </c>
      <c r="E31" s="47">
        <f>VLOOKUP(D31,Asignaturas!$C$5:$D$261,2,0)</f>
        <v>0</v>
      </c>
      <c r="F31" s="45"/>
      <c r="G31" s="48"/>
      <c r="H31" s="47"/>
      <c r="I31" s="49"/>
      <c r="J31" s="50"/>
      <c r="K31" s="45"/>
      <c r="L31" s="51"/>
    </row>
    <row r="32" spans="1:12" s="52" customFormat="1" ht="48.75" customHeight="1">
      <c r="A32" s="45"/>
      <c r="B32" s="45"/>
      <c r="C32" s="46"/>
      <c r="D32" s="46" t="str">
        <f t="shared" si="0"/>
        <v/>
      </c>
      <c r="E32" s="47">
        <f>VLOOKUP(D32,Asignaturas!$C$5:$D$261,2,0)</f>
        <v>0</v>
      </c>
      <c r="F32" s="45"/>
      <c r="G32" s="48"/>
      <c r="H32" s="47"/>
      <c r="I32" s="49"/>
      <c r="J32" s="50"/>
      <c r="K32" s="45"/>
      <c r="L32" s="51"/>
    </row>
    <row r="33" spans="1:12" s="52" customFormat="1" ht="48.75" customHeight="1">
      <c r="A33" s="45"/>
      <c r="B33" s="45"/>
      <c r="C33" s="46"/>
      <c r="D33" s="46" t="str">
        <f t="shared" si="0"/>
        <v/>
      </c>
      <c r="E33" s="47">
        <f>VLOOKUP(D33,Asignaturas!$C$5:$D$261,2,0)</f>
        <v>0</v>
      </c>
      <c r="F33" s="45"/>
      <c r="G33" s="48"/>
      <c r="H33" s="47"/>
      <c r="I33" s="49"/>
      <c r="J33" s="50"/>
      <c r="K33" s="45"/>
      <c r="L33" s="51"/>
    </row>
    <row r="34" spans="1:12" s="52" customFormat="1" ht="48.75" customHeight="1">
      <c r="A34" s="45"/>
      <c r="B34" s="45"/>
      <c r="C34" s="46"/>
      <c r="D34" s="46" t="str">
        <f t="shared" si="0"/>
        <v/>
      </c>
      <c r="E34" s="47">
        <f>VLOOKUP(D34,Asignaturas!$C$5:$D$261,2,0)</f>
        <v>0</v>
      </c>
      <c r="F34" s="45"/>
      <c r="G34" s="48"/>
      <c r="H34" s="47"/>
      <c r="I34" s="49"/>
      <c r="J34" s="50"/>
      <c r="K34" s="45"/>
      <c r="L34" s="51"/>
    </row>
    <row r="35" spans="1:12" s="52" customFormat="1" ht="48.75" customHeight="1">
      <c r="A35" s="45"/>
      <c r="B35" s="45"/>
      <c r="C35" s="46"/>
      <c r="D35" s="46" t="str">
        <f t="shared" si="0"/>
        <v/>
      </c>
      <c r="E35" s="47">
        <f>VLOOKUP(D35,Asignaturas!$C$5:$D$261,2,0)</f>
        <v>0</v>
      </c>
      <c r="F35" s="45"/>
      <c r="G35" s="48"/>
      <c r="H35" s="47"/>
      <c r="I35" s="49"/>
      <c r="J35" s="50"/>
      <c r="K35" s="45"/>
      <c r="L35" s="51"/>
    </row>
    <row r="36" spans="1:12" s="52" customFormat="1" ht="48.75" customHeight="1">
      <c r="A36" s="45"/>
      <c r="B36" s="45"/>
      <c r="C36" s="46"/>
      <c r="D36" s="46" t="str">
        <f t="shared" si="0"/>
        <v/>
      </c>
      <c r="E36" s="47">
        <f>VLOOKUP(D36,Asignaturas!$C$5:$D$261,2,0)</f>
        <v>0</v>
      </c>
      <c r="F36" s="45"/>
      <c r="G36" s="48"/>
      <c r="H36" s="47"/>
      <c r="I36" s="49"/>
      <c r="J36" s="50"/>
      <c r="K36" s="45"/>
      <c r="L36" s="51"/>
    </row>
    <row r="37" spans="1:12" s="52" customFormat="1" ht="48.75" customHeight="1">
      <c r="A37" s="45"/>
      <c r="B37" s="45"/>
      <c r="C37" s="46"/>
      <c r="D37" s="46" t="str">
        <f t="shared" si="0"/>
        <v/>
      </c>
      <c r="E37" s="47">
        <f>VLOOKUP(D37,Asignaturas!$C$5:$D$261,2,0)</f>
        <v>0</v>
      </c>
      <c r="F37" s="45"/>
      <c r="G37" s="48"/>
      <c r="H37" s="47"/>
      <c r="I37" s="49"/>
      <c r="J37" s="50"/>
      <c r="K37" s="45"/>
      <c r="L37" s="51"/>
    </row>
    <row r="38" spans="1:12" s="52" customFormat="1" ht="48.75" customHeight="1">
      <c r="A38" s="45"/>
      <c r="B38" s="45"/>
      <c r="C38" s="46"/>
      <c r="D38" s="46" t="str">
        <f t="shared" si="0"/>
        <v/>
      </c>
      <c r="E38" s="47">
        <f>VLOOKUP(D38,Asignaturas!$C$5:$D$261,2,0)</f>
        <v>0</v>
      </c>
      <c r="F38" s="45"/>
      <c r="G38" s="48"/>
      <c r="H38" s="47"/>
      <c r="I38" s="49"/>
      <c r="J38" s="50"/>
      <c r="K38" s="45"/>
      <c r="L38" s="51"/>
    </row>
    <row r="39" spans="1:12" s="52" customFormat="1" ht="48.75" customHeight="1">
      <c r="A39" s="45"/>
      <c r="B39" s="45"/>
      <c r="C39" s="46"/>
      <c r="D39" s="46" t="str">
        <f t="shared" si="0"/>
        <v/>
      </c>
      <c r="E39" s="47">
        <f>VLOOKUP(D39,Asignaturas!$C$5:$D$261,2,0)</f>
        <v>0</v>
      </c>
      <c r="F39" s="45"/>
      <c r="G39" s="48"/>
      <c r="H39" s="47"/>
      <c r="I39" s="49"/>
      <c r="J39" s="50"/>
      <c r="K39" s="45"/>
      <c r="L39" s="51"/>
    </row>
    <row r="40" spans="1:12" s="52" customFormat="1" ht="48.75" customHeight="1">
      <c r="A40" s="45"/>
      <c r="B40" s="45"/>
      <c r="C40" s="46"/>
      <c r="D40" s="46" t="str">
        <f t="shared" si="0"/>
        <v/>
      </c>
      <c r="E40" s="47">
        <f>VLOOKUP(D40,Asignaturas!$C$5:$D$261,2,0)</f>
        <v>0</v>
      </c>
      <c r="F40" s="45"/>
      <c r="G40" s="48"/>
      <c r="H40" s="47"/>
      <c r="I40" s="49"/>
      <c r="J40" s="50"/>
      <c r="K40" s="45"/>
      <c r="L40" s="51"/>
    </row>
    <row r="41" spans="1:12" s="52" customFormat="1" ht="48.75" customHeight="1">
      <c r="A41" s="45"/>
      <c r="B41" s="45"/>
      <c r="C41" s="46"/>
      <c r="D41" s="46" t="str">
        <f t="shared" si="0"/>
        <v/>
      </c>
      <c r="E41" s="47">
        <f>VLOOKUP(D41,Asignaturas!$C$5:$D$261,2,0)</f>
        <v>0</v>
      </c>
      <c r="F41" s="45"/>
      <c r="G41" s="48"/>
      <c r="H41" s="47"/>
      <c r="I41" s="49"/>
      <c r="J41" s="50"/>
      <c r="K41" s="45"/>
      <c r="L41" s="51"/>
    </row>
    <row r="42" spans="1:12" s="52" customFormat="1" ht="48.75" customHeight="1">
      <c r="A42" s="45"/>
      <c r="B42" s="45"/>
      <c r="C42" s="46"/>
      <c r="D42" s="46" t="str">
        <f t="shared" ref="D42:D54" si="1">A42&amp;C42</f>
        <v/>
      </c>
      <c r="E42" s="47">
        <f>VLOOKUP(D42,Asignaturas!$C$5:$D$261,2,0)</f>
        <v>0</v>
      </c>
      <c r="F42" s="45"/>
      <c r="G42" s="48"/>
      <c r="H42" s="47"/>
      <c r="I42" s="49"/>
      <c r="J42" s="50"/>
      <c r="K42" s="45"/>
      <c r="L42" s="51"/>
    </row>
    <row r="43" spans="1:12" s="52" customFormat="1" ht="48.75" customHeight="1">
      <c r="A43" s="45"/>
      <c r="B43" s="45"/>
      <c r="C43" s="46"/>
      <c r="D43" s="46" t="str">
        <f t="shared" si="1"/>
        <v/>
      </c>
      <c r="E43" s="47">
        <f>VLOOKUP(D43,Asignaturas!$C$5:$D$261,2,0)</f>
        <v>0</v>
      </c>
      <c r="F43" s="45"/>
      <c r="G43" s="48"/>
      <c r="H43" s="47"/>
      <c r="I43" s="49"/>
      <c r="J43" s="50"/>
      <c r="K43" s="45"/>
      <c r="L43" s="51"/>
    </row>
    <row r="44" spans="1:12" s="52" customFormat="1" ht="48.75" customHeight="1">
      <c r="A44" s="45"/>
      <c r="B44" s="45"/>
      <c r="C44" s="46"/>
      <c r="D44" s="46" t="str">
        <f t="shared" si="1"/>
        <v/>
      </c>
      <c r="E44" s="47">
        <f>VLOOKUP(D44,Asignaturas!$C$5:$D$261,2,0)</f>
        <v>0</v>
      </c>
      <c r="F44" s="45"/>
      <c r="G44" s="48"/>
      <c r="H44" s="47"/>
      <c r="I44" s="86"/>
      <c r="J44" s="50"/>
      <c r="K44" s="45"/>
      <c r="L44" s="51"/>
    </row>
    <row r="45" spans="1:12" s="52" customFormat="1" ht="48.75" customHeight="1">
      <c r="A45" s="45"/>
      <c r="B45" s="45"/>
      <c r="C45" s="46"/>
      <c r="D45" s="46" t="str">
        <f t="shared" si="1"/>
        <v/>
      </c>
      <c r="E45" s="47">
        <f>VLOOKUP(D45,Asignaturas!$C$5:$D$261,2,0)</f>
        <v>0</v>
      </c>
      <c r="F45" s="45"/>
      <c r="G45" s="48"/>
      <c r="H45" s="47"/>
      <c r="I45" s="49"/>
      <c r="J45" s="50"/>
      <c r="K45" s="45"/>
      <c r="L45" s="51"/>
    </row>
    <row r="46" spans="1:12" s="52" customFormat="1" ht="48.75" customHeight="1">
      <c r="A46" s="45"/>
      <c r="B46" s="45"/>
      <c r="C46" s="46"/>
      <c r="D46" s="46" t="str">
        <f t="shared" si="1"/>
        <v/>
      </c>
      <c r="E46" s="47">
        <f>VLOOKUP(D46,Asignaturas!$C$5:$D$261,2,0)</f>
        <v>0</v>
      </c>
      <c r="F46" s="45"/>
      <c r="G46" s="48"/>
      <c r="H46" s="47"/>
      <c r="I46" s="49"/>
      <c r="J46" s="50"/>
      <c r="K46" s="45"/>
      <c r="L46" s="51"/>
    </row>
    <row r="47" spans="1:12" s="52" customFormat="1" ht="48.75" customHeight="1">
      <c r="A47" s="45"/>
      <c r="B47" s="45"/>
      <c r="C47" s="46"/>
      <c r="D47" s="46" t="str">
        <f t="shared" si="1"/>
        <v/>
      </c>
      <c r="E47" s="47">
        <f>VLOOKUP(D47,Asignaturas!$C$5:$D$261,2,0)</f>
        <v>0</v>
      </c>
      <c r="F47" s="45"/>
      <c r="G47" s="48"/>
      <c r="H47" s="47"/>
      <c r="I47" s="49"/>
      <c r="J47" s="50"/>
      <c r="K47" s="45"/>
      <c r="L47" s="51"/>
    </row>
    <row r="48" spans="1:12" s="52" customFormat="1" ht="48.75" customHeight="1">
      <c r="A48" s="45"/>
      <c r="B48" s="45"/>
      <c r="C48" s="46"/>
      <c r="D48" s="46" t="str">
        <f t="shared" si="1"/>
        <v/>
      </c>
      <c r="E48" s="47">
        <f>VLOOKUP(D48,Asignaturas!$C$5:$D$261,2,0)</f>
        <v>0</v>
      </c>
      <c r="F48" s="45"/>
      <c r="G48" s="48"/>
      <c r="H48" s="47"/>
      <c r="I48" s="49"/>
      <c r="J48" s="50"/>
      <c r="K48" s="45"/>
      <c r="L48" s="51"/>
    </row>
    <row r="49" spans="1:12" s="52" customFormat="1" ht="48.75" customHeight="1">
      <c r="A49" s="45"/>
      <c r="B49" s="45"/>
      <c r="C49" s="46"/>
      <c r="D49" s="46" t="str">
        <f t="shared" si="1"/>
        <v/>
      </c>
      <c r="E49" s="47">
        <f>VLOOKUP(D49,Asignaturas!$C$5:$D$261,2,0)</f>
        <v>0</v>
      </c>
      <c r="F49" s="45"/>
      <c r="G49" s="48"/>
      <c r="H49" s="47"/>
      <c r="I49" s="49"/>
      <c r="J49" s="50"/>
      <c r="K49" s="45"/>
      <c r="L49" s="51"/>
    </row>
    <row r="50" spans="1:12" s="52" customFormat="1" ht="48.75" customHeight="1">
      <c r="A50" s="76"/>
      <c r="B50" s="76"/>
      <c r="C50" s="88"/>
      <c r="D50" s="46" t="str">
        <f t="shared" si="1"/>
        <v/>
      </c>
      <c r="E50" s="47">
        <f>VLOOKUP(D50,Asignaturas!$C$5:$D$261,2,0)</f>
        <v>0</v>
      </c>
      <c r="F50" s="76"/>
      <c r="G50" s="89"/>
      <c r="H50" s="87"/>
      <c r="I50" s="86"/>
      <c r="J50" s="90"/>
      <c r="K50" s="76"/>
      <c r="L50" s="51"/>
    </row>
    <row r="51" spans="1:12" ht="48.75" customHeight="1">
      <c r="A51" s="76"/>
      <c r="B51" s="76"/>
      <c r="C51" s="88"/>
      <c r="D51" s="46" t="str">
        <f t="shared" si="1"/>
        <v/>
      </c>
      <c r="E51" s="47">
        <f>VLOOKUP(D51,Asignaturas!$C$5:$D$261,2,0)</f>
        <v>0</v>
      </c>
      <c r="F51" s="76"/>
      <c r="G51" s="89"/>
      <c r="H51" s="87"/>
      <c r="I51" s="86"/>
      <c r="J51" s="90"/>
      <c r="K51" s="76"/>
      <c r="L51" s="51"/>
    </row>
    <row r="52" spans="1:12" ht="48.75" customHeight="1">
      <c r="A52" s="45"/>
      <c r="B52" s="76"/>
      <c r="C52" s="88"/>
      <c r="D52" s="46" t="str">
        <f t="shared" si="1"/>
        <v/>
      </c>
      <c r="E52" s="47">
        <f>VLOOKUP(D52,Asignaturas!$C$5:$D$261,2,0)</f>
        <v>0</v>
      </c>
      <c r="F52" s="76"/>
      <c r="G52" s="89"/>
      <c r="H52" s="87"/>
      <c r="I52" s="86"/>
      <c r="J52" s="90"/>
      <c r="K52" s="76"/>
      <c r="L52" s="51"/>
    </row>
    <row r="53" spans="1:12" ht="48.75" customHeight="1">
      <c r="A53" s="45"/>
      <c r="B53" s="76"/>
      <c r="C53" s="88"/>
      <c r="D53" s="46" t="str">
        <f t="shared" si="1"/>
        <v/>
      </c>
      <c r="E53" s="47">
        <f>VLOOKUP(D53,Asignaturas!$C$5:$D$261,2,0)</f>
        <v>0</v>
      </c>
      <c r="F53" s="76"/>
      <c r="G53" s="89"/>
      <c r="H53" s="87"/>
      <c r="I53" s="86"/>
      <c r="J53" s="90"/>
      <c r="K53" s="76"/>
      <c r="L53" s="51"/>
    </row>
    <row r="54" spans="1:12" ht="48.75" customHeight="1">
      <c r="A54" s="45"/>
      <c r="B54" s="76"/>
      <c r="C54" s="88"/>
      <c r="D54" s="46" t="str">
        <f t="shared" si="1"/>
        <v/>
      </c>
      <c r="E54" s="47">
        <f>VLOOKUP(D54,Asignaturas!$C$5:$D$261,2,0)</f>
        <v>0</v>
      </c>
      <c r="F54" s="76"/>
      <c r="G54" s="89"/>
      <c r="H54" s="87"/>
      <c r="I54" s="86"/>
      <c r="J54" s="90"/>
      <c r="K54" s="76"/>
      <c r="L54" s="51"/>
    </row>
    <row r="55" spans="1:12" ht="48.75" customHeight="1">
      <c r="A55" s="45"/>
      <c r="B55" s="76"/>
      <c r="C55" s="88"/>
      <c r="D55" s="88"/>
      <c r="E55" s="47" t="e">
        <f>VLOOKUP(D55,Asignaturas!$C$5:$D$261,2,0)</f>
        <v>#N/A</v>
      </c>
      <c r="F55" s="76"/>
      <c r="G55" s="89"/>
      <c r="H55" s="87"/>
      <c r="I55" s="86"/>
      <c r="J55" s="90"/>
      <c r="K55" s="76"/>
      <c r="L55" s="51"/>
    </row>
    <row r="56" spans="1:12" ht="48.75" customHeight="1">
      <c r="A56" s="45"/>
      <c r="B56" s="76"/>
      <c r="C56" s="88"/>
      <c r="D56" s="88"/>
      <c r="E56" s="47" t="e">
        <f>VLOOKUP(D56,Asignaturas!$C$5:$D$261,2,0)</f>
        <v>#N/A</v>
      </c>
      <c r="F56" s="76"/>
      <c r="G56" s="89"/>
      <c r="H56" s="87"/>
      <c r="I56" s="86"/>
      <c r="J56" s="90"/>
      <c r="K56" s="76"/>
      <c r="L56" s="51"/>
    </row>
    <row r="57" spans="1:12" ht="48.75" customHeight="1">
      <c r="A57" s="45"/>
      <c r="B57" s="45"/>
      <c r="C57" s="46"/>
      <c r="D57" s="46"/>
      <c r="E57" s="47" t="e">
        <f>VLOOKUP(D57,Asignaturas!$C$5:$D$261,2,0)</f>
        <v>#N/A</v>
      </c>
      <c r="F57" s="45"/>
      <c r="G57" s="48"/>
      <c r="H57" s="47"/>
      <c r="I57" s="86"/>
      <c r="J57" s="90"/>
      <c r="K57" s="76"/>
      <c r="L57" s="51"/>
    </row>
    <row r="58" spans="1:12" ht="48.75" customHeight="1">
      <c r="A58" s="45"/>
      <c r="B58" s="76"/>
      <c r="C58" s="88"/>
      <c r="D58" s="88"/>
      <c r="E58" s="47" t="e">
        <f>VLOOKUP(D58,Asignaturas!$C$5:$D$261,2,0)</f>
        <v>#N/A</v>
      </c>
      <c r="F58" s="76"/>
      <c r="G58" s="89"/>
      <c r="H58" s="87"/>
      <c r="I58" s="86"/>
      <c r="J58" s="90"/>
      <c r="K58" s="76"/>
      <c r="L58" s="51"/>
    </row>
    <row r="59" spans="1:12" ht="48.75" customHeight="1">
      <c r="A59" s="45"/>
      <c r="B59" s="45"/>
      <c r="C59" s="46"/>
      <c r="D59" s="46"/>
      <c r="E59" s="47"/>
      <c r="F59" s="45"/>
      <c r="G59" s="48"/>
      <c r="H59" s="47"/>
      <c r="I59" s="86"/>
      <c r="J59" s="90"/>
      <c r="K59" s="76"/>
      <c r="L59" s="51"/>
    </row>
    <row r="60" spans="1:12" ht="48.75" customHeight="1">
      <c r="A60" s="45"/>
      <c r="B60" s="45"/>
      <c r="C60" s="46"/>
      <c r="D60" s="46"/>
      <c r="E60" s="47"/>
      <c r="F60" s="45"/>
      <c r="G60" s="48"/>
      <c r="H60" s="47"/>
      <c r="I60" s="86"/>
      <c r="J60" s="90"/>
      <c r="K60" s="76"/>
      <c r="L60" s="51"/>
    </row>
    <row r="61" spans="1:12" ht="48.75" customHeight="1">
      <c r="A61" s="45"/>
      <c r="B61" s="45"/>
      <c r="C61" s="46"/>
      <c r="D61" s="46"/>
      <c r="E61" s="47"/>
      <c r="F61" s="45"/>
      <c r="G61" s="48"/>
      <c r="H61" s="47"/>
      <c r="I61" s="86"/>
      <c r="J61" s="90"/>
      <c r="K61" s="76"/>
      <c r="L61" s="51"/>
    </row>
  </sheetData>
  <dataValidations count="1">
    <dataValidation type="list" allowBlank="1" showInputMessage="1" showErrorMessage="1" sqref="J5:J61" xr:uid="{D7381100-1535-46D9-8E9C-CA1C07063345}">
      <formula1>"SÍ,NO"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5B103E9-B5BB-4A6A-924F-2DF2796030AA}">
          <x14:formula1>
            <xm:f>Asignaturas!$A$5:$A$264</xm:f>
          </x14:formula1>
          <xm:sqref>A5:A61</xm:sqref>
        </x14:dataValidation>
        <x14:dataValidation type="list" allowBlank="1" showInputMessage="1" showErrorMessage="1" xr:uid="{7B80C739-ECC1-4403-B0A2-CB33E02BF446}">
          <x14:formula1>
            <xm:f>Asignaturas!$G$5:$G$31</xm:f>
          </x14:formula1>
          <xm:sqref>F5:F61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Trelles Chapilliquén</dc:creator>
  <cp:keywords/>
  <dc:description/>
  <cp:lastModifiedBy/>
  <cp:revision/>
  <dcterms:created xsi:type="dcterms:W3CDTF">2023-08-22T21:35:21Z</dcterms:created>
  <dcterms:modified xsi:type="dcterms:W3CDTF">2026-05-09T03:30:35Z</dcterms:modified>
  <cp:category/>
  <cp:contentStatus/>
</cp:coreProperties>
</file>